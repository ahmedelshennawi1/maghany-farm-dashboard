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cb0dfa12e4529a8f/Documents/MAGHANY_FARM/"/>
    </mc:Choice>
  </mc:AlternateContent>
  <xr:revisionPtr revIDLastSave="13" documentId="11_3B9B1072D14AA45EE76B8C57595DCE3AB74FF1AA" xr6:coauthVersionLast="47" xr6:coauthVersionMax="47" xr10:uidLastSave="{D624B0B0-55C9-42C1-9C49-E17E3A779D3B}"/>
  <bookViews>
    <workbookView xWindow="-108" yWindow="-108" windowWidth="23256" windowHeight="12456" xr2:uid="{00000000-000D-0000-FFFF-FFFF00000000}"/>
  </bookViews>
  <sheets>
    <sheet name="نموذج عرض سعر - شبكة الر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G47" i="1"/>
  <c r="G46" i="1"/>
  <c r="G45" i="1"/>
  <c r="G44" i="1"/>
  <c r="G43" i="1"/>
  <c r="G42" i="1"/>
  <c r="G41" i="1"/>
  <c r="G40" i="1"/>
  <c r="G38" i="1"/>
  <c r="G37" i="1"/>
  <c r="G36" i="1"/>
  <c r="G35" i="1"/>
  <c r="G34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0" i="1"/>
  <c r="G9" i="1"/>
  <c r="G8" i="1"/>
  <c r="G7" i="1"/>
  <c r="G6" i="1"/>
  <c r="G49" i="1" l="1"/>
</calcChain>
</file>

<file path=xl/sharedStrings.xml><?xml version="1.0" encoding="utf-8"?>
<sst xmlns="http://schemas.openxmlformats.org/spreadsheetml/2006/main" count="97" uniqueCount="65">
  <si>
    <t>طلب تقديم عرض أسعار (RFQ) - مستلزمات شبكة ري البولي إيثيلين والعدد الميدانية</t>
  </si>
  <si>
    <t>اسم الشركة الموردة:</t>
  </si>
  <si>
    <t>تاريخ تقديم العرض:</t>
  </si>
  <si>
    <t>م</t>
  </si>
  <si>
    <t>بيان المادة والمواصفات الفنية المطلوبة</t>
  </si>
  <si>
    <t>الوحدة</t>
  </si>
  <si>
    <t>الكمية المطلوبة (خط مزدوج)</t>
  </si>
  <si>
    <t>المنشأ والماركة المعروضة [مورد]</t>
  </si>
  <si>
    <t>سعر الوحدة (ج.م) [مورد]</t>
  </si>
  <si>
    <t>إجمالي السعر (ج.م) [معادلة]</t>
  </si>
  <si>
    <t>الضمان (شهور) [مورد]</t>
  </si>
  <si>
    <t>ملاحظات المورد وحزم الخصم</t>
  </si>
  <si>
    <t>أولاً: منظومة الفلاتر القرصية الأوتوماتيكية AZUD Helix ومهمات التحكم الذاتي والملحقات الهيدروليكية</t>
  </si>
  <si>
    <t>فلتر قرصي أوتوماتيكي تنظيف ذاتي طراز AZUD Helix Automatic مقاس 2 بوصة (يشمل الكارتريج القرصي وجسم الفلتر والملحقات الداخلية) - أسباني أصلي</t>
  </si>
  <si>
    <t>قطعة</t>
  </si>
  <si>
    <t>محبس غسيل عكسي هيدروليكي ثلاثي المسارات يعمل بحجاب حاجز (برداخ) مقاس 2 بوصة - أسباني أصلي طراز أزود</t>
  </si>
  <si>
    <t>لوحة تحكم إلكترونية ذكية أوتوماتيكية للغسيل العكسي طراز AZUD FBC تعمل ببطارية 12 فولت DC</t>
  </si>
  <si>
    <t>جهاز</t>
  </si>
  <si>
    <t>ملف صمام كهربائي لولبي (Solenoid Valve 12V DC Latching) ماركة أزود أسباني مع قاعدة التجميع وخراطيم التحكم PE قطر 6 مم</t>
  </si>
  <si>
    <t>طقم</t>
  </si>
  <si>
    <t>مفتاح قياس فرق الضغط الميكانيكي (Differential Pressure Switch) لقياس الانسداد وإعطاء إشارة البدء التلقائي للغسيل العكسي عند 0.5 بار</t>
  </si>
  <si>
    <t>1-أ: قطع مانيفولدات PVC PN25 لتصنيع مجمعات الدخول والخروج والتصريف محلياً (عامل أمان هيكلي 8× ضغط التشغيل)</t>
  </si>
  <si>
    <t>وصلة تي تخفيض (Reducing Tee) PVC PN25 مقاس 3"×3"×2" لتفريع توصيلات الفلاتر من المانيفولد الرئيسي</t>
  </si>
  <si>
    <t>وصلة فكتولك كبس سريع (Victaulic Couplings) مقاس 2 بوصة نايلون مقوى مع جوان مطاطي مانع للتسريب</t>
  </si>
  <si>
    <t>عداد قياس ضغط جليسرين (Glycerin Pressure Gauge) نطاق 0-10 بار مقاس 2.5 بوصة سن نحاس خلفي</t>
  </si>
  <si>
    <t>محبس عزل فراشة يدوي (Butterfly Valve) مقاس 3 بوصة كومر عالي الضغط لعزل محطة الفلترة</t>
  </si>
  <si>
    <t>محبس عدم رجوع (Check Valve) مقاس 3 بوصة لمنع الارتداد وحماية محطة الفلترة والطلمبة</t>
  </si>
  <si>
    <t>محبس إطلاق وتفريغ الهواء هيدروليكي (Air Release Valve Kinetic) مقاس 2 بوصة للمانيفولدات</t>
  </si>
  <si>
    <t>ثانياً: خراطيم الري البولي إيثيلين والنقاطات وملحقات التوصيل والمياه</t>
  </si>
  <si>
    <t>خرطوم بولي إيثيلين Ø16 مم ساده (سُمك 1.2 مم - PN6) لفة 400 متر معتمد</t>
  </si>
  <si>
    <t>لفة</t>
  </si>
  <si>
    <t>نقاط معوض للضغط (PC) تصرف 8 لتر/ساعة قابل للفك والتنظيف اليدوي</t>
  </si>
  <si>
    <t>بادئ توصيل 16 مم (بوشة سن ذكر 16 مم + جلدة كاوتش مانعة للتسريب)</t>
  </si>
  <si>
    <t>نهاية خط ري بولي إيثيلين (نظارة قفل خط 16 مم ثقيل)</t>
  </si>
  <si>
    <t>وصلة إصلاح مستقيمة (نبل توصيل وتصليح خراطيم 16 مم كبس)</t>
  </si>
  <si>
    <t>محبس إطلاق وتفريغ الهواء (فنتوس Kinetic Air Valve) مقاس 1 بوصة للشبكة الفرعية</t>
  </si>
  <si>
    <t>أفيز ستانلس ستيل حلزوني (Worm-gear) مقاس 16 مم لتأمين الوصلات</t>
  </si>
  <si>
    <t>ثالثاً: المستلزمات الكيميائية والمواد الاستهلاكية والتجهيز الميداني</t>
  </si>
  <si>
    <t>علبة</t>
  </si>
  <si>
    <t>منظف ومجهز أسطح مواسير PVC لإتمام اللحامات الكيميائية (علبة 1 لتر)</t>
  </si>
  <si>
    <t>شريط تفلون عريض لفات جامبو ثقيل للرباط القلاووظ</t>
  </si>
  <si>
    <t>أفيز بلاستيك عريض شديد التحمل طول 30 سم (رباط كابلات Cable Ties)</t>
  </si>
  <si>
    <t>كيس</t>
  </si>
  <si>
    <t>مسامير سن صاج مجلفنة برأس صليبة مقاس 3.5 × 25 مم للتثبيت العام</t>
  </si>
  <si>
    <t>رابعاً: العدد اليدوية وأدوات العمل الميداني الكاملة لإنجاز الشبكة</t>
  </si>
  <si>
    <t>خرامة خراطيم ري يدوية شديدة التحمل بقطر 3 مم مخصصة لنقاطات الـ PC</t>
  </si>
  <si>
    <t>لقمة ثقب مواسير PVC (بنطة كوبية شنيور مقاس 16 مم) لجلد البادئات</t>
  </si>
  <si>
    <t>شنيور لاسلكي (شحن) 18 فولت بطاريتين ليثيوم وشاحن ماركة معتمدة</t>
  </si>
  <si>
    <t>كتر حاد (مشرط أمان بلاستيكي مقوى مع شفرات قابلة للاستبدال)</t>
  </si>
  <si>
    <t>طقم شفرات كتر إضافية شديدة الحدة ستانلس ستيل علبة 10 شفرات</t>
  </si>
  <si>
    <t>طقم مفكات مدمج عالي الجودة (يشمل مفكات صليبة وعادة مقاسات متعددة)</t>
  </si>
  <si>
    <t>شريط قياس مساحي شريط فايبر جلاس متين طول 50 متر</t>
  </si>
  <si>
    <t>شريط قياس يدوي جيب متين طول 5 متر ضد الصدمات للقياس السريع</t>
  </si>
  <si>
    <t>قفازات واقية مبطنة مقاومة للانزلاق والقطع مخصصة لأعمال الشبكات</t>
  </si>
  <si>
    <t>زوج</t>
  </si>
  <si>
    <t>الإجمالي</t>
  </si>
  <si>
    <t>إجمالي عرض أسعار مستلزمات شبكة الري والعدد والفلاتر</t>
  </si>
  <si>
    <t>طبة (End Cap) PVC PN25 مقاس 3 بوصة</t>
  </si>
  <si>
    <t xml:space="preserve">يونيون (Union Socket) PVC PN25 مقاس 3 بوصة </t>
  </si>
  <si>
    <t xml:space="preserve">ماسورة PVC مقاس 2 بوصة (OD 63 مم) ضغط PN25 طول 6 متر </t>
  </si>
  <si>
    <t xml:space="preserve">وصلة تي مستوية (Equal Tee) PVC PN25 مقاس 2"×2"×2" </t>
  </si>
  <si>
    <t xml:space="preserve">طرف مكفف (End Cap) PVC PN25 مقاس 2 بوصة </t>
  </si>
  <si>
    <t xml:space="preserve">يونيون (Union Socket) PVC PN25 مقاس 2 بوصة </t>
  </si>
  <si>
    <t xml:space="preserve">ماسورة PVC  3 بوصة (OD 90 مم) ضغط PN25 طول 6 متر </t>
  </si>
  <si>
    <t>غراء مواسير PVC حار ثقيل عالي الضغط (علبة 1 كجم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</si>
</sst>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b/>
      <sz val="14"/>
      <color rgb="FFFFFFFF"/>
      <name val="Segoe UI"/>
    </font>
    <font>
      <b/>
      <sz val="10"/>
      <name val="Segoe UI"/>
    </font>
    <font>
      <b/>
      <sz val="10"/>
      <color rgb="FFFFFFFF"/>
      <name val="Segoe UI"/>
    </font>
    <font>
      <b/>
      <sz val="11"/>
      <color rgb="FF1B365D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CF3CF"/>
        <bgColor rgb="FFFCF3CF"/>
      </patternFill>
    </fill>
    <fill>
      <patternFill patternType="solid">
        <fgColor rgb="FF2A52BE"/>
        <bgColor rgb="FF2A52BE"/>
      </patternFill>
    </fill>
    <fill>
      <patternFill patternType="solid">
        <fgColor rgb="FFE6EDF5"/>
        <bgColor rgb="FFE6EDF5"/>
      </patternFill>
    </fill>
    <fill>
      <patternFill patternType="solid">
        <fgColor rgb="FFF5F8FC"/>
        <bgColor rgb="FFF5F8FC"/>
      </patternFill>
    </fill>
    <fill>
      <patternFill patternType="solid">
        <fgColor rgb="FFDFE7F2"/>
        <bgColor rgb="FFDFE7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1B365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4" fontId="5" fillId="6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0" fillId="7" borderId="2" xfId="0" applyFill="1" applyBorder="1"/>
    <xf numFmtId="4" fontId="2" fillId="7" borderId="2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right"/>
    </xf>
    <xf numFmtId="0" fontId="0" fillId="3" borderId="1" xfId="0" applyFill="1" applyBorder="1"/>
    <xf numFmtId="0" fontId="0" fillId="0" borderId="0" xfId="0"/>
    <xf numFmtId="0" fontId="2" fillId="7" borderId="2" xfId="0" applyFont="1" applyFill="1" applyBorder="1" applyAlignment="1">
      <alignment horizontal="center"/>
    </xf>
    <xf numFmtId="0" fontId="0" fillId="7" borderId="2" xfId="0" applyFill="1" applyBorder="1"/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rightToLeft="1" tabSelected="1" topLeftCell="B17" workbookViewId="0">
      <selection activeCell="E27" sqref="E27"/>
    </sheetView>
  </sheetViews>
  <sheetFormatPr defaultRowHeight="13.8"/>
  <cols>
    <col min="1" max="1" width="5" customWidth="1"/>
    <col min="2" max="2" width="112" bestFit="1" customWidth="1"/>
    <col min="3" max="3" width="10" customWidth="1"/>
    <col min="4" max="4" width="15" customWidth="1"/>
    <col min="5" max="5" width="22" customWidth="1"/>
    <col min="6" max="7" width="18" customWidth="1"/>
    <col min="8" max="8" width="15" customWidth="1"/>
    <col min="9" max="9" width="30" customWidth="1"/>
  </cols>
  <sheetData>
    <row r="1" spans="1:9" ht="40.049999999999997" customHeight="1">
      <c r="A1" s="21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5.05" customHeight="1">
      <c r="A2" s="1" t="s">
        <v>1</v>
      </c>
      <c r="B2" s="17"/>
      <c r="C2" s="18"/>
      <c r="D2" s="18"/>
      <c r="E2" s="1" t="s">
        <v>2</v>
      </c>
      <c r="F2" s="17"/>
      <c r="G2" s="18"/>
    </row>
    <row r="4" spans="1:9" ht="34.950000000000003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ht="25.05" customHeight="1">
      <c r="A5" s="22" t="s">
        <v>12</v>
      </c>
      <c r="B5" s="18"/>
      <c r="C5" s="18"/>
      <c r="D5" s="18"/>
      <c r="E5" s="18"/>
      <c r="F5" s="18"/>
      <c r="G5" s="18"/>
      <c r="H5" s="18"/>
      <c r="I5" s="18"/>
    </row>
    <row r="6" spans="1:9" ht="24" customHeight="1">
      <c r="A6" s="3">
        <v>1</v>
      </c>
      <c r="B6" s="4" t="s">
        <v>13</v>
      </c>
      <c r="C6" s="3" t="s">
        <v>14</v>
      </c>
      <c r="D6" s="5">
        <v>3</v>
      </c>
      <c r="E6" s="6"/>
      <c r="F6" s="7"/>
      <c r="G6" s="8">
        <f>D6*F6</f>
        <v>0</v>
      </c>
      <c r="H6" s="6"/>
      <c r="I6" s="9"/>
    </row>
    <row r="7" spans="1:9" ht="24" customHeight="1">
      <c r="A7" s="10">
        <v>2</v>
      </c>
      <c r="B7" s="11" t="s">
        <v>15</v>
      </c>
      <c r="C7" s="10" t="s">
        <v>14</v>
      </c>
      <c r="D7" s="12">
        <v>3</v>
      </c>
      <c r="E7" s="6"/>
      <c r="F7" s="7"/>
      <c r="G7" s="13">
        <f>D7*F7</f>
        <v>0</v>
      </c>
      <c r="H7" s="6"/>
      <c r="I7" s="9"/>
    </row>
    <row r="8" spans="1:9" ht="24" customHeight="1">
      <c r="A8" s="3">
        <v>3</v>
      </c>
      <c r="B8" s="4" t="s">
        <v>16</v>
      </c>
      <c r="C8" s="3" t="s">
        <v>17</v>
      </c>
      <c r="D8" s="5">
        <v>1</v>
      </c>
      <c r="E8" s="6"/>
      <c r="F8" s="7"/>
      <c r="G8" s="8">
        <f>D8*F8</f>
        <v>0</v>
      </c>
      <c r="H8" s="6"/>
      <c r="I8" s="9"/>
    </row>
    <row r="9" spans="1:9" ht="24" customHeight="1">
      <c r="A9" s="10">
        <v>4</v>
      </c>
      <c r="B9" s="11" t="s">
        <v>18</v>
      </c>
      <c r="C9" s="10" t="s">
        <v>19</v>
      </c>
      <c r="D9" s="12">
        <v>1</v>
      </c>
      <c r="E9" s="6"/>
      <c r="F9" s="7"/>
      <c r="G9" s="13">
        <f>D9*F9</f>
        <v>0</v>
      </c>
      <c r="H9" s="6"/>
      <c r="I9" s="9"/>
    </row>
    <row r="10" spans="1:9" ht="24" customHeight="1">
      <c r="A10" s="3">
        <v>5</v>
      </c>
      <c r="B10" s="4" t="s">
        <v>20</v>
      </c>
      <c r="C10" s="3" t="s">
        <v>17</v>
      </c>
      <c r="D10" s="5">
        <v>1</v>
      </c>
      <c r="E10" s="6"/>
      <c r="F10" s="7"/>
      <c r="G10" s="8">
        <f>D10*F10</f>
        <v>0</v>
      </c>
      <c r="H10" s="6"/>
      <c r="I10" s="9"/>
    </row>
    <row r="11" spans="1:9" ht="25.05" customHeight="1">
      <c r="A11" s="22" t="s">
        <v>21</v>
      </c>
      <c r="B11" s="18"/>
      <c r="C11" s="18"/>
      <c r="D11" s="18"/>
      <c r="E11" s="18"/>
      <c r="F11" s="18"/>
      <c r="G11" s="18"/>
      <c r="H11" s="18"/>
      <c r="I11" s="18"/>
    </row>
    <row r="12" spans="1:9" ht="24" customHeight="1">
      <c r="A12" s="3">
        <v>6</v>
      </c>
      <c r="B12" s="4" t="s">
        <v>63</v>
      </c>
      <c r="C12" s="3" t="s">
        <v>14</v>
      </c>
      <c r="D12" s="5">
        <v>1</v>
      </c>
      <c r="E12" s="6"/>
      <c r="F12" s="7"/>
      <c r="G12" s="8">
        <f t="shared" ref="G12:G24" si="0">D12*F12</f>
        <v>0</v>
      </c>
      <c r="H12" s="6"/>
      <c r="I12" s="9"/>
    </row>
    <row r="13" spans="1:9" ht="24" customHeight="1">
      <c r="A13" s="10">
        <v>7</v>
      </c>
      <c r="B13" s="11" t="s">
        <v>22</v>
      </c>
      <c r="C13" s="10" t="s">
        <v>14</v>
      </c>
      <c r="D13" s="12">
        <v>6</v>
      </c>
      <c r="E13" s="6"/>
      <c r="F13" s="7"/>
      <c r="G13" s="13">
        <f t="shared" si="0"/>
        <v>0</v>
      </c>
      <c r="H13" s="6"/>
      <c r="I13" s="9"/>
    </row>
    <row r="14" spans="1:9" ht="24" customHeight="1">
      <c r="A14" s="3">
        <v>8</v>
      </c>
      <c r="B14" s="4" t="s">
        <v>57</v>
      </c>
      <c r="C14" s="3" t="s">
        <v>14</v>
      </c>
      <c r="D14" s="5">
        <v>2</v>
      </c>
      <c r="E14" s="6"/>
      <c r="F14" s="7"/>
      <c r="G14" s="8">
        <f t="shared" si="0"/>
        <v>0</v>
      </c>
      <c r="H14" s="6"/>
      <c r="I14" s="9"/>
    </row>
    <row r="15" spans="1:9" ht="24" customHeight="1">
      <c r="A15" s="10">
        <v>9</v>
      </c>
      <c r="B15" s="11" t="s">
        <v>58</v>
      </c>
      <c r="C15" s="10" t="s">
        <v>14</v>
      </c>
      <c r="D15" s="12">
        <v>2</v>
      </c>
      <c r="E15" s="6"/>
      <c r="F15" s="7"/>
      <c r="G15" s="13">
        <f t="shared" si="0"/>
        <v>0</v>
      </c>
      <c r="H15" s="6"/>
      <c r="I15" s="9"/>
    </row>
    <row r="16" spans="1:9" ht="24" customHeight="1">
      <c r="A16" s="3">
        <v>10</v>
      </c>
      <c r="B16" s="4" t="s">
        <v>59</v>
      </c>
      <c r="C16" s="3" t="s">
        <v>14</v>
      </c>
      <c r="D16" s="5">
        <v>1</v>
      </c>
      <c r="E16" s="6"/>
      <c r="F16" s="7"/>
      <c r="G16" s="8">
        <f t="shared" si="0"/>
        <v>0</v>
      </c>
      <c r="H16" s="6"/>
      <c r="I16" s="9"/>
    </row>
    <row r="17" spans="1:9" ht="24" customHeight="1">
      <c r="A17" s="10">
        <v>11</v>
      </c>
      <c r="B17" s="11" t="s">
        <v>60</v>
      </c>
      <c r="C17" s="10" t="s">
        <v>14</v>
      </c>
      <c r="D17" s="12">
        <v>2</v>
      </c>
      <c r="E17" s="6"/>
      <c r="F17" s="7"/>
      <c r="G17" s="13">
        <f t="shared" si="0"/>
        <v>0</v>
      </c>
      <c r="H17" s="6"/>
      <c r="I17" s="9"/>
    </row>
    <row r="18" spans="1:9" ht="24" customHeight="1">
      <c r="A18" s="3">
        <v>12</v>
      </c>
      <c r="B18" s="4" t="s">
        <v>61</v>
      </c>
      <c r="C18" s="3" t="s">
        <v>14</v>
      </c>
      <c r="D18" s="5">
        <v>1</v>
      </c>
      <c r="E18" s="6"/>
      <c r="F18" s="7"/>
      <c r="G18" s="8">
        <f t="shared" si="0"/>
        <v>0</v>
      </c>
      <c r="H18" s="6"/>
      <c r="I18" s="9"/>
    </row>
    <row r="19" spans="1:9" ht="24" customHeight="1">
      <c r="A19" s="10">
        <v>13</v>
      </c>
      <c r="B19" s="11" t="s">
        <v>62</v>
      </c>
      <c r="C19" s="10" t="s">
        <v>14</v>
      </c>
      <c r="D19" s="12">
        <v>1</v>
      </c>
      <c r="E19" s="6"/>
      <c r="F19" s="7"/>
      <c r="G19" s="13">
        <f t="shared" si="0"/>
        <v>0</v>
      </c>
      <c r="H19" s="6"/>
      <c r="I19" s="9"/>
    </row>
    <row r="20" spans="1:9" ht="24" customHeight="1">
      <c r="A20" s="3">
        <v>14</v>
      </c>
      <c r="B20" s="4" t="s">
        <v>23</v>
      </c>
      <c r="C20" s="3" t="s">
        <v>19</v>
      </c>
      <c r="D20" s="5">
        <v>12</v>
      </c>
      <c r="E20" s="6"/>
      <c r="F20" s="7"/>
      <c r="G20" s="8">
        <f t="shared" si="0"/>
        <v>0</v>
      </c>
      <c r="H20" s="6"/>
      <c r="I20" s="9"/>
    </row>
    <row r="21" spans="1:9" ht="24" customHeight="1">
      <c r="A21" s="10">
        <v>15</v>
      </c>
      <c r="B21" s="11" t="s">
        <v>24</v>
      </c>
      <c r="C21" s="10" t="s">
        <v>14</v>
      </c>
      <c r="D21" s="12">
        <v>2</v>
      </c>
      <c r="E21" s="6"/>
      <c r="F21" s="7"/>
      <c r="G21" s="13">
        <f t="shared" si="0"/>
        <v>0</v>
      </c>
      <c r="H21" s="6"/>
      <c r="I21" s="9"/>
    </row>
    <row r="22" spans="1:9" ht="24" customHeight="1">
      <c r="A22" s="3">
        <v>16</v>
      </c>
      <c r="B22" s="4" t="s">
        <v>25</v>
      </c>
      <c r="C22" s="3" t="s">
        <v>14</v>
      </c>
      <c r="D22" s="5">
        <v>2</v>
      </c>
      <c r="E22" s="6"/>
      <c r="F22" s="7"/>
      <c r="G22" s="8">
        <f t="shared" si="0"/>
        <v>0</v>
      </c>
      <c r="H22" s="6"/>
      <c r="I22" s="9"/>
    </row>
    <row r="23" spans="1:9" ht="24" customHeight="1">
      <c r="A23" s="10">
        <v>17</v>
      </c>
      <c r="B23" s="11" t="s">
        <v>26</v>
      </c>
      <c r="C23" s="10" t="s">
        <v>14</v>
      </c>
      <c r="D23" s="12">
        <v>1</v>
      </c>
      <c r="E23" s="6"/>
      <c r="F23" s="7"/>
      <c r="G23" s="13">
        <f t="shared" si="0"/>
        <v>0</v>
      </c>
      <c r="H23" s="6"/>
      <c r="I23" s="9"/>
    </row>
    <row r="24" spans="1:9" ht="24" customHeight="1">
      <c r="A24" s="3">
        <v>18</v>
      </c>
      <c r="B24" s="4" t="s">
        <v>27</v>
      </c>
      <c r="C24" s="3" t="s">
        <v>14</v>
      </c>
      <c r="D24" s="5">
        <v>2</v>
      </c>
      <c r="E24" s="6"/>
      <c r="F24" s="7"/>
      <c r="G24" s="8">
        <f t="shared" si="0"/>
        <v>0</v>
      </c>
      <c r="H24" s="6"/>
      <c r="I24" s="9"/>
    </row>
    <row r="25" spans="1:9" ht="25.05" customHeight="1">
      <c r="A25" s="22" t="s">
        <v>28</v>
      </c>
      <c r="B25" s="18"/>
      <c r="C25" s="18"/>
      <c r="D25" s="18"/>
      <c r="E25" s="18"/>
      <c r="F25" s="18"/>
      <c r="G25" s="18"/>
      <c r="H25" s="18"/>
      <c r="I25" s="18"/>
    </row>
    <row r="26" spans="1:9" ht="24" customHeight="1">
      <c r="A26" s="3">
        <v>19</v>
      </c>
      <c r="B26" s="4" t="s">
        <v>29</v>
      </c>
      <c r="C26" s="3" t="s">
        <v>30</v>
      </c>
      <c r="D26" s="5">
        <v>40</v>
      </c>
      <c r="E26" s="6"/>
      <c r="F26" s="7">
        <v>2500</v>
      </c>
      <c r="G26" s="8">
        <f t="shared" ref="G26:G32" si="1">D26*F26</f>
        <v>100000</v>
      </c>
      <c r="H26" s="6"/>
      <c r="I26" s="9"/>
    </row>
    <row r="27" spans="1:9" ht="24" customHeight="1">
      <c r="A27" s="10">
        <v>20</v>
      </c>
      <c r="B27" s="11" t="s">
        <v>31</v>
      </c>
      <c r="C27" s="10" t="s">
        <v>14</v>
      </c>
      <c r="D27" s="12">
        <v>5300</v>
      </c>
      <c r="E27" s="6"/>
      <c r="F27" s="7"/>
      <c r="G27" s="13">
        <f t="shared" si="1"/>
        <v>0</v>
      </c>
      <c r="H27" s="6"/>
      <c r="I27" s="9"/>
    </row>
    <row r="28" spans="1:9" ht="24" customHeight="1">
      <c r="A28" s="3">
        <v>21</v>
      </c>
      <c r="B28" s="4" t="s">
        <v>32</v>
      </c>
      <c r="C28" s="3" t="s">
        <v>19</v>
      </c>
      <c r="D28" s="5">
        <v>100</v>
      </c>
      <c r="E28" s="6"/>
      <c r="F28" s="7"/>
      <c r="G28" s="8">
        <f t="shared" si="1"/>
        <v>0</v>
      </c>
      <c r="H28" s="6"/>
      <c r="I28" s="9"/>
    </row>
    <row r="29" spans="1:9" ht="24" customHeight="1">
      <c r="A29" s="10">
        <v>22</v>
      </c>
      <c r="B29" s="11" t="s">
        <v>33</v>
      </c>
      <c r="C29" s="10" t="s">
        <v>14</v>
      </c>
      <c r="D29" s="12">
        <v>100</v>
      </c>
      <c r="E29" s="6"/>
      <c r="F29" s="7"/>
      <c r="G29" s="13">
        <f t="shared" si="1"/>
        <v>0</v>
      </c>
      <c r="H29" s="6"/>
      <c r="I29" s="9"/>
    </row>
    <row r="30" spans="1:9" ht="24" customHeight="1">
      <c r="A30" s="3">
        <v>23</v>
      </c>
      <c r="B30" s="4" t="s">
        <v>34</v>
      </c>
      <c r="C30" s="3" t="s">
        <v>14</v>
      </c>
      <c r="D30" s="5">
        <v>300</v>
      </c>
      <c r="E30" s="6"/>
      <c r="F30" s="7"/>
      <c r="G30" s="8">
        <f t="shared" si="1"/>
        <v>0</v>
      </c>
      <c r="H30" s="6"/>
      <c r="I30" s="9"/>
    </row>
    <row r="31" spans="1:9" ht="24" customHeight="1">
      <c r="A31" s="10">
        <v>24</v>
      </c>
      <c r="B31" s="11" t="s">
        <v>35</v>
      </c>
      <c r="C31" s="10" t="s">
        <v>14</v>
      </c>
      <c r="D31" s="12">
        <v>3</v>
      </c>
      <c r="E31" s="6"/>
      <c r="F31" s="7"/>
      <c r="G31" s="13">
        <f t="shared" si="1"/>
        <v>0</v>
      </c>
      <c r="H31" s="6"/>
      <c r="I31" s="9"/>
    </row>
    <row r="32" spans="1:9" ht="24" customHeight="1">
      <c r="A32" s="3">
        <v>25</v>
      </c>
      <c r="B32" s="4" t="s">
        <v>36</v>
      </c>
      <c r="C32" s="3" t="s">
        <v>14</v>
      </c>
      <c r="D32" s="5">
        <v>200</v>
      </c>
      <c r="E32" s="6"/>
      <c r="F32" s="7"/>
      <c r="G32" s="8">
        <f t="shared" si="1"/>
        <v>0</v>
      </c>
      <c r="H32" s="6"/>
      <c r="I32" s="9"/>
    </row>
    <row r="33" spans="1:9" ht="25.05" customHeight="1">
      <c r="A33" s="22" t="s">
        <v>37</v>
      </c>
      <c r="B33" s="18"/>
      <c r="C33" s="18"/>
      <c r="D33" s="18"/>
      <c r="E33" s="18"/>
      <c r="F33" s="18"/>
      <c r="G33" s="18"/>
      <c r="H33" s="18"/>
      <c r="I33" s="18"/>
    </row>
    <row r="34" spans="1:9" ht="24" customHeight="1">
      <c r="A34" s="3">
        <v>26</v>
      </c>
      <c r="B34" s="4" t="s">
        <v>64</v>
      </c>
      <c r="C34" s="3" t="s">
        <v>38</v>
      </c>
      <c r="D34" s="5">
        <v>4</v>
      </c>
      <c r="E34" s="6"/>
      <c r="F34" s="7"/>
      <c r="G34" s="8">
        <f>D34*F34</f>
        <v>0</v>
      </c>
      <c r="H34" s="6"/>
      <c r="I34" s="9"/>
    </row>
    <row r="35" spans="1:9" ht="24" customHeight="1">
      <c r="A35" s="10">
        <v>27</v>
      </c>
      <c r="B35" s="11" t="s">
        <v>39</v>
      </c>
      <c r="C35" s="10" t="s">
        <v>38</v>
      </c>
      <c r="D35" s="12">
        <v>2</v>
      </c>
      <c r="E35" s="6"/>
      <c r="F35" s="7"/>
      <c r="G35" s="13">
        <f>D35*F35</f>
        <v>0</v>
      </c>
      <c r="H35" s="6"/>
      <c r="I35" s="9"/>
    </row>
    <row r="36" spans="1:9" ht="24" customHeight="1">
      <c r="A36" s="3">
        <v>28</v>
      </c>
      <c r="B36" s="4" t="s">
        <v>40</v>
      </c>
      <c r="C36" s="3" t="s">
        <v>30</v>
      </c>
      <c r="D36" s="5">
        <v>30</v>
      </c>
      <c r="E36" s="6"/>
      <c r="F36" s="7"/>
      <c r="G36" s="8">
        <f>D36*F36</f>
        <v>0</v>
      </c>
      <c r="H36" s="6"/>
      <c r="I36" s="9"/>
    </row>
    <row r="37" spans="1:9" ht="24" customHeight="1">
      <c r="A37" s="10">
        <v>29</v>
      </c>
      <c r="B37" s="11" t="s">
        <v>41</v>
      </c>
      <c r="C37" s="10" t="s">
        <v>42</v>
      </c>
      <c r="D37" s="12">
        <v>5</v>
      </c>
      <c r="E37" s="6"/>
      <c r="F37" s="7"/>
      <c r="G37" s="13">
        <f>D37*F37</f>
        <v>0</v>
      </c>
      <c r="H37" s="6"/>
      <c r="I37" s="9"/>
    </row>
    <row r="38" spans="1:9" ht="24" customHeight="1">
      <c r="A38" s="3">
        <v>30</v>
      </c>
      <c r="B38" s="4" t="s">
        <v>43</v>
      </c>
      <c r="C38" s="3" t="s">
        <v>38</v>
      </c>
      <c r="D38" s="5">
        <v>1</v>
      </c>
      <c r="E38" s="6"/>
      <c r="F38" s="7"/>
      <c r="G38" s="8">
        <f>D38*F38</f>
        <v>0</v>
      </c>
      <c r="H38" s="6"/>
      <c r="I38" s="9"/>
    </row>
    <row r="39" spans="1:9" ht="25.05" customHeight="1">
      <c r="A39" s="22" t="s">
        <v>44</v>
      </c>
      <c r="B39" s="18"/>
      <c r="C39" s="18"/>
      <c r="D39" s="18"/>
      <c r="E39" s="18"/>
      <c r="F39" s="18"/>
      <c r="G39" s="18"/>
      <c r="H39" s="18"/>
      <c r="I39" s="18"/>
    </row>
    <row r="40" spans="1:9" ht="24" customHeight="1">
      <c r="A40" s="3">
        <v>31</v>
      </c>
      <c r="B40" s="4" t="s">
        <v>45</v>
      </c>
      <c r="C40" s="3" t="s">
        <v>14</v>
      </c>
      <c r="D40" s="5">
        <v>4</v>
      </c>
      <c r="E40" s="6"/>
      <c r="F40" s="7"/>
      <c r="G40" s="8">
        <f t="shared" ref="G40:G48" si="2">D40*F40</f>
        <v>0</v>
      </c>
      <c r="H40" s="6"/>
      <c r="I40" s="9"/>
    </row>
    <row r="41" spans="1:9" ht="24" customHeight="1">
      <c r="A41" s="10">
        <v>32</v>
      </c>
      <c r="B41" s="11" t="s">
        <v>46</v>
      </c>
      <c r="C41" s="10" t="s">
        <v>14</v>
      </c>
      <c r="D41" s="12">
        <v>2</v>
      </c>
      <c r="E41" s="6"/>
      <c r="F41" s="7"/>
      <c r="G41" s="13">
        <f t="shared" si="2"/>
        <v>0</v>
      </c>
      <c r="H41" s="6"/>
      <c r="I41" s="9"/>
    </row>
    <row r="42" spans="1:9" ht="24" customHeight="1">
      <c r="A42" s="3">
        <v>33</v>
      </c>
      <c r="B42" s="4" t="s">
        <v>47</v>
      </c>
      <c r="C42" s="3" t="s">
        <v>17</v>
      </c>
      <c r="D42" s="5">
        <v>2</v>
      </c>
      <c r="E42" s="6"/>
      <c r="F42" s="7"/>
      <c r="G42" s="8">
        <f t="shared" si="2"/>
        <v>0</v>
      </c>
      <c r="H42" s="6"/>
      <c r="I42" s="9"/>
    </row>
    <row r="43" spans="1:9" ht="24" customHeight="1">
      <c r="A43" s="10">
        <v>34</v>
      </c>
      <c r="B43" s="11" t="s">
        <v>48</v>
      </c>
      <c r="C43" s="10" t="s">
        <v>14</v>
      </c>
      <c r="D43" s="12">
        <v>5</v>
      </c>
      <c r="E43" s="6"/>
      <c r="F43" s="7"/>
      <c r="G43" s="13">
        <f t="shared" si="2"/>
        <v>0</v>
      </c>
      <c r="H43" s="6"/>
      <c r="I43" s="9"/>
    </row>
    <row r="44" spans="1:9" ht="24" customHeight="1">
      <c r="A44" s="3">
        <v>35</v>
      </c>
      <c r="B44" s="4" t="s">
        <v>49</v>
      </c>
      <c r="C44" s="3" t="s">
        <v>38</v>
      </c>
      <c r="D44" s="5">
        <v>2</v>
      </c>
      <c r="E44" s="6"/>
      <c r="F44" s="7"/>
      <c r="G44" s="8">
        <f t="shared" si="2"/>
        <v>0</v>
      </c>
      <c r="H44" s="6"/>
      <c r="I44" s="9"/>
    </row>
    <row r="45" spans="1:9" ht="24" customHeight="1">
      <c r="A45" s="10">
        <v>36</v>
      </c>
      <c r="B45" s="11" t="s">
        <v>50</v>
      </c>
      <c r="C45" s="10" t="s">
        <v>19</v>
      </c>
      <c r="D45" s="12">
        <v>4</v>
      </c>
      <c r="E45" s="6"/>
      <c r="F45" s="7"/>
      <c r="G45" s="13">
        <f t="shared" si="2"/>
        <v>0</v>
      </c>
      <c r="H45" s="6"/>
      <c r="I45" s="9"/>
    </row>
    <row r="46" spans="1:9" ht="24" customHeight="1">
      <c r="A46" s="3">
        <v>37</v>
      </c>
      <c r="B46" s="4" t="s">
        <v>51</v>
      </c>
      <c r="C46" s="3" t="s">
        <v>14</v>
      </c>
      <c r="D46" s="5">
        <v>2</v>
      </c>
      <c r="E46" s="6"/>
      <c r="F46" s="7"/>
      <c r="G46" s="8">
        <f t="shared" si="2"/>
        <v>0</v>
      </c>
      <c r="H46" s="6"/>
      <c r="I46" s="9"/>
    </row>
    <row r="47" spans="1:9" ht="24" customHeight="1">
      <c r="A47" s="10">
        <v>38</v>
      </c>
      <c r="B47" s="11" t="s">
        <v>52</v>
      </c>
      <c r="C47" s="10" t="s">
        <v>14</v>
      </c>
      <c r="D47" s="12">
        <v>4</v>
      </c>
      <c r="E47" s="6"/>
      <c r="F47" s="7"/>
      <c r="G47" s="13">
        <f t="shared" si="2"/>
        <v>0</v>
      </c>
      <c r="H47" s="6"/>
      <c r="I47" s="9"/>
    </row>
    <row r="48" spans="1:9" ht="24" customHeight="1">
      <c r="A48" s="3">
        <v>39</v>
      </c>
      <c r="B48" s="4" t="s">
        <v>53</v>
      </c>
      <c r="C48" s="3" t="s">
        <v>54</v>
      </c>
      <c r="D48" s="5">
        <v>10</v>
      </c>
      <c r="E48" s="6"/>
      <c r="F48" s="7"/>
      <c r="G48" s="8">
        <f t="shared" si="2"/>
        <v>0</v>
      </c>
      <c r="H48" s="6"/>
      <c r="I48" s="9"/>
    </row>
    <row r="49" spans="1:9" ht="28.05" customHeight="1">
      <c r="A49" s="19" t="s">
        <v>55</v>
      </c>
      <c r="B49" s="20"/>
      <c r="C49" s="20"/>
      <c r="D49" s="20"/>
      <c r="E49" s="20"/>
      <c r="F49" s="14"/>
      <c r="G49" s="15">
        <f>SUM(G5:G48)</f>
        <v>100000</v>
      </c>
      <c r="H49" s="14"/>
      <c r="I49" s="16" t="s">
        <v>56</v>
      </c>
    </row>
  </sheetData>
  <mergeCells count="9">
    <mergeCell ref="F2:G2"/>
    <mergeCell ref="B2:D2"/>
    <mergeCell ref="A49:E49"/>
    <mergeCell ref="A1:I1"/>
    <mergeCell ref="A39:I39"/>
    <mergeCell ref="A5:I5"/>
    <mergeCell ref="A33:I33"/>
    <mergeCell ref="A11:I11"/>
    <mergeCell ref="A25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 عرض سعر - شبكة الري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Ahmed_ElShennawy</cp:lastModifiedBy>
  <dcterms:created xsi:type="dcterms:W3CDTF">2026-05-20T19:52:49Z</dcterms:created>
  <dcterms:modified xsi:type="dcterms:W3CDTF">2026-05-25T09:13:01Z</dcterms:modified>
</cp:coreProperties>
</file>