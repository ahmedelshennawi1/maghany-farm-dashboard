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قايسة - خط مزدوج (موصى به)" sheetId="1" state="visible" r:id="rId1"/>
    <sheet xmlns:r="http://schemas.openxmlformats.org/officeDocument/2006/relationships" name="المقايسة - خط فردي (اقتصادي)" sheetId="2" state="visible" r:id="rId2"/>
    <sheet xmlns:r="http://schemas.openxmlformats.org/officeDocument/2006/relationships" name="مقارنة وتحليل السيناريوه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b val="1"/>
      <color rgb="001B365D"/>
      <sz val="11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52BE"/>
        <bgColor rgb="002A52BE"/>
      </patternFill>
    </fill>
    <fill>
      <patternFill patternType="solid">
        <fgColor rgb="00E6EDF5"/>
        <bgColor rgb="00E6EDF5"/>
      </patternFill>
    </fill>
    <fill>
      <patternFill patternType="solid">
        <fgColor rgb="00F5F8FC"/>
        <bgColor rgb="00F5F8FC"/>
      </patternFill>
    </fill>
    <fill>
      <patternFill patternType="solid">
        <fgColor rgb="00DFE7F2"/>
        <bgColor rgb="00DFE7F2"/>
      </patternFill>
    </fill>
    <fill>
      <patternFill patternType="solid">
        <fgColor rgb="00FCF3CF"/>
        <bgColor rgb="00FCF3C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center"/>
    </xf>
    <xf numFmtId="4" fontId="5" fillId="5" borderId="1" applyAlignment="1" pivotButton="0" quotePrefix="0" xfId="0">
      <alignment horizontal="center"/>
    </xf>
    <xf numFmtId="0" fontId="6" fillId="6" borderId="2" applyAlignment="1" pivotButton="0" quotePrefix="0" xfId="0">
      <alignment horizontal="center"/>
    </xf>
    <xf numFmtId="0" fontId="0" fillId="6" borderId="2" pivotButton="0" quotePrefix="0" xfId="0"/>
    <xf numFmtId="4" fontId="6" fillId="6" borderId="2" applyAlignment="1" pivotButton="0" quotePrefix="0" xfId="0">
      <alignment horizontal="center"/>
    </xf>
    <xf numFmtId="0" fontId="6" fillId="6" borderId="2" applyAlignment="1" pivotButton="0" quotePrefix="0" xfId="0">
      <alignment horizontal="right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rightToLeft="1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5" customWidth="1" min="4" max="4"/>
    <col width="22" customWidth="1" min="5" max="5"/>
    <col width="22" customWidth="1" min="6" max="6"/>
    <col width="55" customWidth="1" min="7" max="7"/>
  </cols>
  <sheetData>
    <row r="1" ht="40" customHeight="1">
      <c r="A1" s="1" t="inlineStr">
        <is>
          <t>مقايسة توريد فلاتر AZUD Helix وخراطيم الري والنقاطات والعدد (نظام الخط المزدوج المتوازي)</t>
        </is>
      </c>
    </row>
    <row r="2" ht="22" customHeight="1">
      <c r="A2" s="2" t="inlineStr">
        <is>
          <t>الفلاتر: منظومة AZUD Helix أوتوماتيكية 2/3 بوصة | المانيفولدات: PVC PN25 تصنيع محلي | الأشجار: 1,205 شجرة مانجو | المسافات: 6×6 م | خراطيم مزدوجة 16 مم لكل صف</t>
        </is>
      </c>
    </row>
    <row r="4" ht="30" customHeight="1">
      <c r="A4" s="3" t="inlineStr">
        <is>
          <t>م</t>
        </is>
      </c>
      <c r="B4" s="3" t="inlineStr">
        <is>
          <t>البند والمواصفات الفنية بالتفصيل</t>
        </is>
      </c>
      <c r="C4" s="3" t="inlineStr">
        <is>
          <t>الوحدة</t>
        </is>
      </c>
      <c r="D4" s="3" t="inlineStr">
        <is>
          <t>الكمية الأساسية</t>
        </is>
      </c>
      <c r="E4" s="3" t="inlineStr">
        <is>
          <t>سعر الوحدة التقديري (ج.م)</t>
        </is>
      </c>
      <c r="F4" s="3" t="inlineStr">
        <is>
          <t>إجمالي السعر (ج.م)</t>
        </is>
      </c>
      <c r="G4" s="3" t="inlineStr">
        <is>
          <t>ملاحظات الاستخدام والتنفيذ الميداني</t>
        </is>
      </c>
    </row>
    <row r="5" ht="25" customHeight="1">
      <c r="A5" s="4" t="inlineStr">
        <is>
          <t>أولاً: منظومة الفلاتر القرصية الأوتوماتيكية AZUD Helix ومهمات التحكم الذاتي</t>
        </is>
      </c>
    </row>
    <row r="6" ht="22" customHeight="1">
      <c r="A6" s="5" t="n">
        <v>1</v>
      </c>
      <c r="B6" s="6" t="inlineStr">
        <is>
          <t>فلتر قرصي أوتوماتيكي تنظيف ذاتي طراز AZUD Helix Automatic مقاس 2 بوصة (يشمل الكارتريج القرصي وجسم الفلتر والملحقات الداخلية) - أسباني أصلي</t>
        </is>
      </c>
      <c r="C6" s="5" t="inlineStr">
        <is>
          <t>قطعة</t>
        </is>
      </c>
      <c r="D6" s="7" t="n">
        <v>3</v>
      </c>
      <c r="E6" s="8" t="n">
        <v>35000</v>
      </c>
      <c r="F6" s="8">
        <f>D6*E6</f>
        <v/>
      </c>
      <c r="G6" s="6" t="inlineStr">
        <is>
          <t>الفلاتر القرصية الثلاثة المكونة لبطارية الفلترة الرئيسية (تجميع محلي في مصر)</t>
        </is>
      </c>
    </row>
    <row r="7" ht="22" customHeight="1">
      <c r="A7" s="9" t="n">
        <v>2</v>
      </c>
      <c r="B7" s="10" t="inlineStr">
        <is>
          <t>محبس غسيل عكسي هيدروليكي ثلاثي المسارات يعمل بحجاب حاجز (برداخ) مقاس 2 بوصة لتوجيه تدفق المياه في الغسيل العكسي - أسباني أصلي طراز أزود</t>
        </is>
      </c>
      <c r="C7" s="9" t="inlineStr">
        <is>
          <t>قطعة</t>
        </is>
      </c>
      <c r="D7" s="11" t="n">
        <v>3</v>
      </c>
      <c r="E7" s="12" t="n">
        <v>10000</v>
      </c>
      <c r="F7" s="12">
        <f>D7*E7</f>
        <v/>
      </c>
      <c r="G7" s="10" t="inlineStr">
        <is>
          <t>يتحكم هيدروليكياً في تبديل مسار المياه بين الفلترة والغسيل العكسي تلقائياً</t>
        </is>
      </c>
    </row>
    <row r="8" ht="22" customHeight="1">
      <c r="A8" s="5" t="n">
        <v>3</v>
      </c>
      <c r="B8" s="6" t="inlineStr">
        <is>
          <t>لوحة تحكم إلكترونية ذكية أوتوماتيكية للغسيل العكسي طراز AZUD FBC لبرمجة وتنظيم أزمنة ودورات الغسيل العكسي تعمل ببطارية 12 فولت DC</t>
        </is>
      </c>
      <c r="C8" s="5" t="inlineStr">
        <is>
          <t>جهاز</t>
        </is>
      </c>
      <c r="D8" s="7" t="n">
        <v>1</v>
      </c>
      <c r="E8" s="8" t="n">
        <v>15000</v>
      </c>
      <c r="F8" s="8">
        <f>D8*E8</f>
        <v/>
      </c>
      <c r="G8" s="6" t="inlineStr">
        <is>
          <t>تقوم بإرسال الإشارات الكهربائية لملفات السولينويد لفتح وغلق محابس الغسيل</t>
        </is>
      </c>
    </row>
    <row r="9" ht="22" customHeight="1">
      <c r="A9" s="9" t="n">
        <v>4</v>
      </c>
      <c r="B9" s="10" t="inlineStr">
        <is>
          <t>ملف صمام كهربائي لولبي (Solenoid Valve 12V DC Latching) ماركة أزود أسباني مع قاعدة التجميع وخراطيم التحكم PE قطر 6 مم لربط لوحة التحكم بالمحابس الهيدروليكية</t>
        </is>
      </c>
      <c r="C9" s="9" t="inlineStr">
        <is>
          <t>طقم</t>
        </is>
      </c>
      <c r="D9" s="11" t="n">
        <v>1</v>
      </c>
      <c r="E9" s="12" t="n">
        <v>10500</v>
      </c>
      <c r="F9" s="12">
        <f>D9*E9</f>
        <v/>
      </c>
      <c r="G9" s="10" t="inlineStr">
        <is>
          <t>لتحويل الإشارة الكهربائية من اللوحة إلى ضغط هيدروليكي للتحكم في الحجاب الحاجز</t>
        </is>
      </c>
    </row>
    <row r="10" ht="22" customHeight="1">
      <c r="A10" s="5" t="n">
        <v>5</v>
      </c>
      <c r="B10" s="6" t="inlineStr">
        <is>
          <t>مفتاح قياس فرق الضغط الميكانيكي (Differential Pressure Switch) لقياس الانسداد وإعطاء إشارة البدء التلقائي للغسيل العكسي عند فرق ضغط 0.5 بار</t>
        </is>
      </c>
      <c r="C10" s="5" t="inlineStr">
        <is>
          <t>جهاز</t>
        </is>
      </c>
      <c r="D10" s="7" t="n">
        <v>1</v>
      </c>
      <c r="E10" s="8" t="n">
        <v>5000</v>
      </c>
      <c r="F10" s="8">
        <f>D10*E10</f>
        <v/>
      </c>
      <c r="G10" s="6" t="inlineStr">
        <is>
          <t>يعطي إشارة فورية للوحة عند بلوغ فرق الضغط 0.5 بار لتفعيل الغسيل التلقائي</t>
        </is>
      </c>
    </row>
    <row r="11" ht="25" customHeight="1">
      <c r="A11" s="4" t="inlineStr">
        <is>
          <t>1-أ: قطع مانيفولدات PVC PN25 لتصنيع مجمعات الدخول والخروج والتصريف محلياً (عامل أمان هيكلي 8× ضغط التشغيل)</t>
        </is>
      </c>
    </row>
    <row r="12" ht="22" customHeight="1">
      <c r="A12" s="5" t="n">
        <v>6</v>
      </c>
      <c r="B12" s="6" t="inlineStr">
        <is>
          <t>ماسورة PVC صلبة (أبيض) مقاس 3 بوصة (OD 90 مم) ضغط PN25 طول 6 متر لتصنيع مانيفولدي الدخول والخروج - تُقطع بالموقع</t>
        </is>
      </c>
      <c r="C12" s="5" t="inlineStr">
        <is>
          <t>قطعة</t>
        </is>
      </c>
      <c r="D12" s="7" t="n">
        <v>1</v>
      </c>
      <c r="E12" s="8" t="n">
        <v>3200</v>
      </c>
      <c r="F12" s="8">
        <f>D12*E12</f>
        <v/>
      </c>
      <c r="G12" s="6" t="inlineStr">
        <is>
          <t>طول 6م يكفي تصنيع كلا مانيفولدي الدخول والخروج (عرض ≈ 65 سم لكل) مع مراعاة الهالك</t>
        </is>
      </c>
    </row>
    <row r="13" ht="22" customHeight="1">
      <c r="A13" s="9" t="n">
        <v>7</v>
      </c>
      <c r="B13" s="10" t="inlineStr">
        <is>
          <t>وصلة تي تخفيض (Reducing Tee) PVC PN25 مقاس 3"×3"×2" لتفريع توصيلات الفلاتر من المانيفولد الرئيسي</t>
        </is>
      </c>
      <c r="C13" s="9" t="inlineStr">
        <is>
          <t>قطعة</t>
        </is>
      </c>
      <c r="D13" s="11" t="n">
        <v>6</v>
      </c>
      <c r="E13" s="12" t="n">
        <v>280</v>
      </c>
      <c r="F13" s="12">
        <f>D13*E13</f>
        <v/>
      </c>
      <c r="G13" s="10" t="inlineStr">
        <is>
          <t>3 قطع لمانيفولد الدخول + 3 قطع لمانيفولد الخروج - تُلحم بالغراء الكيميائي PVC عالي الضغط</t>
        </is>
      </c>
    </row>
    <row r="14" ht="22" customHeight="1">
      <c r="A14" s="5" t="n">
        <v>8</v>
      </c>
      <c r="B14" s="6" t="inlineStr">
        <is>
          <t>طرف مكفف (End Cap) PVC PN25 مقاس 3 بوصة لإغلاق نهايات المانيفولدين بشكل محكم تحت الضغط</t>
        </is>
      </c>
      <c r="C14" s="5" t="inlineStr">
        <is>
          <t>قطعة</t>
        </is>
      </c>
      <c r="D14" s="7" t="n">
        <v>2</v>
      </c>
      <c r="E14" s="8" t="n">
        <v>95</v>
      </c>
      <c r="F14" s="8">
        <f>D14*E14</f>
        <v/>
      </c>
      <c r="G14" s="6" t="inlineStr">
        <is>
          <t>قطعة لكل مانيفولد - يُلحم بغراء PVC ثقيل - يتحمل ضغط PN25 أي ≈8 أضعاف ضغط التشغيل الفعلي</t>
        </is>
      </c>
    </row>
    <row r="15" ht="22" customHeight="1">
      <c r="A15" s="9" t="n">
        <v>9</v>
      </c>
      <c r="B15" s="10" t="inlineStr">
        <is>
          <t>يونيون (Union Socket) PVC PN25 مقاس 3 بوصة ذو صمولة لتوصيل المانيفولدين بالخط الرئيسي 3 بوصة وفصلهما للصيانة</t>
        </is>
      </c>
      <c r="C15" s="9" t="inlineStr">
        <is>
          <t>قطعة</t>
        </is>
      </c>
      <c r="D15" s="11" t="n">
        <v>2</v>
      </c>
      <c r="E15" s="12" t="n">
        <v>220</v>
      </c>
      <c r="F15" s="12">
        <f>D15*E15</f>
        <v/>
      </c>
      <c r="G15" s="10" t="inlineStr">
        <is>
          <t>يتيح فك المانيفولد بالكامل لأغراض الصيانة دون قطع أو لحام مواسير الخط الرئيسي</t>
        </is>
      </c>
    </row>
    <row r="16" ht="22" customHeight="1">
      <c r="A16" s="5" t="n">
        <v>10</v>
      </c>
      <c r="B16" s="6" t="inlineStr">
        <is>
          <t>ماسورة PVC صلبة (أبيض) مقاس 2 بوصة (OD 63 مم) ضغط PN25 طول 6 متر لتصنيع مانيفولد مياه التصريف الناتجة عن الغسيل العكسي</t>
        </is>
      </c>
      <c r="C16" s="5" t="inlineStr">
        <is>
          <t>قطعة</t>
        </is>
      </c>
      <c r="D16" s="7" t="n">
        <v>1</v>
      </c>
      <c r="E16" s="8" t="n">
        <v>1800</v>
      </c>
      <c r="F16" s="8">
        <f>D16*E16</f>
        <v/>
      </c>
      <c r="G16" s="6" t="inlineStr">
        <is>
          <t>يُقطع ويُركب محلياً لجمع مياه صرف الغسيل العكسي في خط تصريف مشترك</t>
        </is>
      </c>
    </row>
    <row r="17" ht="22" customHeight="1">
      <c r="A17" s="9" t="n">
        <v>11</v>
      </c>
      <c r="B17" s="10" t="inlineStr">
        <is>
          <t>وصلة تي مستوية (Equal Tee) PVC PN25 مقاس 2"×2"×2" لتجميع مياه صرف الغسيل العكسي من الفلاتر الثلاثة في مانيفولد تصريف مشترك</t>
        </is>
      </c>
      <c r="C17" s="9" t="inlineStr">
        <is>
          <t>قطعة</t>
        </is>
      </c>
      <c r="D17" s="11" t="n">
        <v>2</v>
      </c>
      <c r="E17" s="12" t="n">
        <v>120</v>
      </c>
      <c r="F17" s="12">
        <f>D17*E17</f>
        <v/>
      </c>
      <c r="G17" s="10" t="inlineStr">
        <is>
          <t>تُركب بالتسلسل - تكفي 2 وصلة لتوصيل 3 فروع (الثالث يُركب مباشرة على نهاية الماسورة)</t>
        </is>
      </c>
    </row>
    <row r="18" ht="22" customHeight="1">
      <c r="A18" s="5" t="n">
        <v>12</v>
      </c>
      <c r="B18" s="6" t="inlineStr">
        <is>
          <t>طرف مكفف (End Cap) PVC PN25 مقاس 2 بوصة لإغلاق نهاية مانيفولد التصريف بعد آخر فرع</t>
        </is>
      </c>
      <c r="C18" s="5" t="inlineStr">
        <is>
          <t>قطعة</t>
        </is>
      </c>
      <c r="D18" s="7" t="n">
        <v>1</v>
      </c>
      <c r="E18" s="8" t="n">
        <v>55</v>
      </c>
      <c r="F18" s="8">
        <f>D18*E18</f>
        <v/>
      </c>
      <c r="G18" s="6" t="inlineStr">
        <is>
          <t>يُلحم بالغراء الكيميائي بعد التأكد من محاذاة وثبات خط التصريف</t>
        </is>
      </c>
    </row>
    <row r="19" ht="22" customHeight="1">
      <c r="A19" s="9" t="n">
        <v>13</v>
      </c>
      <c r="B19" s="10" t="inlineStr">
        <is>
          <t>يونيون (Union Socket) PVC PN25 مقاس 2 بوصة لتوصيل مانيفولد التصريف بخط الصرف الخارجي وفصله للصيانة</t>
        </is>
      </c>
      <c r="C19" s="9" t="inlineStr">
        <is>
          <t>قطعة</t>
        </is>
      </c>
      <c r="D19" s="11" t="n">
        <v>1</v>
      </c>
      <c r="E19" s="12" t="n">
        <v>130</v>
      </c>
      <c r="F19" s="12">
        <f>D19*E19</f>
        <v/>
      </c>
      <c r="G19" s="10" t="inlineStr">
        <is>
          <t>يسهل فصل خط الصرف في حالة الصيانة الدورية للمانيفولد أو تنظيف خط التصريف</t>
        </is>
      </c>
    </row>
    <row r="20" ht="22" customHeight="1">
      <c r="A20" s="5" t="n">
        <v>14</v>
      </c>
      <c r="B20" s="6" t="inlineStr">
        <is>
          <t>وصلة فكتولك كبس سريع (Victaulic Couplings) مقاس 2 بوصة نايلون مقوى مع جوان مطاطي مانع للتسريب لربط الفلاتر بالمحابس والمانيفولد</t>
        </is>
      </c>
      <c r="C20" s="5" t="inlineStr">
        <is>
          <t>طقم</t>
        </is>
      </c>
      <c r="D20" s="7" t="n">
        <v>12</v>
      </c>
      <c r="E20" s="8" t="n">
        <v>1200</v>
      </c>
      <c r="F20" s="8">
        <f>D20*E20</f>
        <v/>
      </c>
      <c r="G20" s="6" t="inlineStr">
        <is>
          <t>وصلات سريعة الكبس لتسهيل وسرعة فك وتركيب الفلاتر والمحابس لأعمال الصيانة</t>
        </is>
      </c>
    </row>
    <row r="21" ht="22" customHeight="1">
      <c r="A21" s="9" t="n">
        <v>15</v>
      </c>
      <c r="B21" s="10" t="inlineStr">
        <is>
          <t>عداد قياس ضغط جليسرين (Glycerin Pressure Gauge) نطاق 0-10 بار مقاس 2.5 بوصة سن نحاس خلفي مع صمام إبرة نحاس</t>
        </is>
      </c>
      <c r="C21" s="9" t="inlineStr">
        <is>
          <t>قطعة</t>
        </is>
      </c>
      <c r="D21" s="11" t="n">
        <v>2</v>
      </c>
      <c r="E21" s="12" t="n">
        <v>1500</v>
      </c>
      <c r="F21" s="12">
        <f>D21*E21</f>
        <v/>
      </c>
      <c r="G21" s="10" t="inlineStr">
        <is>
          <t>يركب على مجمعي الدخول والخروج للمتابعة البصرية الميدانية لضغوط الشبكة</t>
        </is>
      </c>
    </row>
    <row r="22" ht="22" customHeight="1">
      <c r="A22" s="5" t="n">
        <v>16</v>
      </c>
      <c r="B22" s="6" t="inlineStr">
        <is>
          <t>محبس عزل فراشة يدوي (Butterfly Valve) عالي الضغط مقاس 3 بوصة كومر لعزل محطة الفلترة بالكامل أثناء الصيانة</t>
        </is>
      </c>
      <c r="C22" s="5" t="inlineStr">
        <is>
          <t>قطعة</t>
        </is>
      </c>
      <c r="D22" s="7" t="n">
        <v>2</v>
      </c>
      <c r="E22" s="8" t="n">
        <v>3200</v>
      </c>
      <c r="F22" s="8">
        <f>D22*E22</f>
        <v/>
      </c>
      <c r="G22" s="6" t="inlineStr">
        <is>
          <t>يركب على خط الدخول الرئيسي وخط الخروج الرئيسي لعزل المحطة بالكامل</t>
        </is>
      </c>
    </row>
    <row r="23" ht="22" customHeight="1">
      <c r="A23" s="9" t="n">
        <v>17</v>
      </c>
      <c r="B23" s="10" t="inlineStr">
        <is>
          <t>محبس عدم رجوع بوابة مرنة ثقيل (Check Valve) مقاس 3 بوصة لمنع الارتداد وحماية محطة الفلترة والطلمبة</t>
        </is>
      </c>
      <c r="C23" s="9" t="inlineStr">
        <is>
          <t>قطعة</t>
        </is>
      </c>
      <c r="D23" s="11" t="n">
        <v>1</v>
      </c>
      <c r="E23" s="12" t="n">
        <v>4800</v>
      </c>
      <c r="F23" s="12">
        <f>D23*E23</f>
        <v/>
      </c>
      <c r="G23" s="10" t="inlineStr">
        <is>
          <t>يمنع ارتداد المياه المفلترة والضغوط العكسية من خطوط الحقل للخلف حماية للفلاتر</t>
        </is>
      </c>
    </row>
    <row r="24" ht="22" customHeight="1">
      <c r="A24" s="5" t="n">
        <v>18</v>
      </c>
      <c r="B24" s="6" t="inlineStr">
        <is>
          <t>محبس إطلاق وتفريغ الهواء هيدروليكي مزدوج الفعل (Air Release Valve Kinetic) مقاس 2 بوصة لخطوط الدخول والخروج والمانيفولدات</t>
        </is>
      </c>
      <c r="C24" s="5" t="inlineStr">
        <is>
          <t>قطعة</t>
        </is>
      </c>
      <c r="D24" s="7" t="n">
        <v>2</v>
      </c>
      <c r="E24" s="8" t="n">
        <v>1800</v>
      </c>
      <c r="F24" s="8">
        <f>D24*E24</f>
        <v/>
      </c>
      <c r="G24" s="6" t="inlineStr">
        <is>
          <t>لمنع الجيوب الهوائية في المجمعات وضمان التدفق الهيدروليكي المنتظم</t>
        </is>
      </c>
    </row>
    <row r="25" ht="25" customHeight="1">
      <c r="A25" s="4" t="inlineStr">
        <is>
          <t>ثانياً: خراطيم الري البولي إيثيلين والنقاطات وملحقات التوصيل والمياه</t>
        </is>
      </c>
    </row>
    <row r="26" ht="22" customHeight="1">
      <c r="A26" s="5" t="n">
        <v>19</v>
      </c>
      <c r="B26" s="6" t="inlineStr">
        <is>
          <t>خرطوم بولي إيثيلين Ø16 مم ساده (سُمك 1.2 مم - ضغط PN6) مقاوم لأشعة الشمس لفة 400 متر (معتمد)</t>
        </is>
      </c>
      <c r="C26" s="5" t="inlineStr">
        <is>
          <t>لفة</t>
        </is>
      </c>
      <c r="D26" s="7" t="n">
        <v>40</v>
      </c>
      <c r="E26" s="8" t="n">
        <v>1800</v>
      </c>
      <c r="F26" s="8">
        <f>D26*E26</f>
        <v/>
      </c>
      <c r="G26" s="6" t="inlineStr">
        <is>
          <t>لفة 400 متر (إجمالي 16,000 متر طولي تشمل 10% هالك وتداخلات)</t>
        </is>
      </c>
    </row>
    <row r="27" ht="22" customHeight="1">
      <c r="A27" s="9" t="n">
        <v>20</v>
      </c>
      <c r="B27" s="10" t="inlineStr">
        <is>
          <t>نقاط معوض للضغط (PC) تصرف 8 لتر/ساعة قابلة للتفكيك والتنظيف (نوع ممتاز مثل Netafim PCJ أو AZUD Click)</t>
        </is>
      </c>
      <c r="C27" s="9" t="inlineStr">
        <is>
          <t>قطعة</t>
        </is>
      </c>
      <c r="D27" s="11" t="n">
        <v>5300</v>
      </c>
      <c r="E27" s="12" t="n">
        <v>6.5</v>
      </c>
      <c r="F27" s="12">
        <f>D27*E27</f>
        <v/>
      </c>
      <c r="G27" s="10" t="inlineStr">
        <is>
          <t>أعلى جودة هيدروليكية (4820 نقاط للأشجار + 10% أمان للصيانة البديلة)</t>
        </is>
      </c>
    </row>
    <row r="28" ht="22" customHeight="1">
      <c r="A28" s="5" t="n">
        <v>21</v>
      </c>
      <c r="B28" s="6" t="inlineStr">
        <is>
          <t>بادئ توصيل 16 مم (بوشة سن ذكر + جلدة كاوتش مانعة للتسريب 16 مم) للتثبيت في مواسير الـ PVC</t>
        </is>
      </c>
      <c r="C28" s="5" t="inlineStr">
        <is>
          <t>طقم</t>
        </is>
      </c>
      <c r="D28" s="7" t="n">
        <v>100</v>
      </c>
      <c r="E28" s="8" t="n">
        <v>8.5</v>
      </c>
      <c r="F28" s="8">
        <f>D28*E28</f>
        <v/>
      </c>
      <c r="G28" s="6" t="inlineStr">
        <is>
          <t>عدد 84 صفاً مزدوجاً + أمان للتالف (يستخدم للتوصيل من ماسورة 75 مم للخرطوم)</t>
        </is>
      </c>
    </row>
    <row r="29" ht="22" customHeight="1">
      <c r="A29" s="9" t="n">
        <v>22</v>
      </c>
      <c r="B29" s="10" t="inlineStr">
        <is>
          <t>نهاية خط ري (نظارة 16 مم بولي إيثيلين عالي الكثافة) لقفل نهايات الخراطيم</t>
        </is>
      </c>
      <c r="C29" s="9" t="inlineStr">
        <is>
          <t>قطعة</t>
        </is>
      </c>
      <c r="D29" s="11" t="n">
        <v>100</v>
      </c>
      <c r="E29" s="12" t="n">
        <v>2.5</v>
      </c>
      <c r="F29" s="12">
        <f>D29*E29</f>
        <v/>
      </c>
      <c r="G29" s="10" t="inlineStr">
        <is>
          <t>تستخدم لقفل وتأمين نهاية كل خرطوم ري وتسهيل الغسيل الدوري للخطوط</t>
        </is>
      </c>
    </row>
    <row r="30" ht="22" customHeight="1">
      <c r="A30" s="5" t="n">
        <v>23</v>
      </c>
      <c r="B30" s="6" t="inlineStr">
        <is>
          <t>وصلة إصلاح مستقيمة (نبل تصليح خراطيم 16 مم) لمعالجة القطوع وتوصيل الفواضل</t>
        </is>
      </c>
      <c r="C30" s="5" t="inlineStr">
        <is>
          <t>قطعة</t>
        </is>
      </c>
      <c r="D30" s="7" t="n">
        <v>300</v>
      </c>
      <c r="E30" s="8" t="n">
        <v>1.8</v>
      </c>
      <c r="F30" s="8">
        <f>D30*E30</f>
        <v/>
      </c>
      <c r="G30" s="6" t="inlineStr">
        <is>
          <t>لتفادي الهدر وتوصيل بقايا الخراطيم بكفاءة عالية ومنع التسريب الميداني</t>
        </is>
      </c>
    </row>
    <row r="31" ht="22" customHeight="1">
      <c r="A31" s="9" t="n">
        <v>24</v>
      </c>
      <c r="B31" s="10" t="inlineStr">
        <is>
          <t>محبس هواء وتفريغ الفراغ (فنتوس Kinetic Air Valve) مقاس 1 بوصة للشبكة الفرعية</t>
        </is>
      </c>
      <c r="C31" s="9" t="inlineStr">
        <is>
          <t>قطعة</t>
        </is>
      </c>
      <c r="D31" s="11" t="n">
        <v>3</v>
      </c>
      <c r="E31" s="12" t="n">
        <v>280</v>
      </c>
      <c r="F31" s="12">
        <f>D31*E31</f>
        <v/>
      </c>
      <c r="G31" s="10" t="inlineStr">
        <is>
          <t>يركب في أعلى نقطة بكل خط lateral لمنع انسداد الخطوط وجيوب الهواء</t>
        </is>
      </c>
    </row>
    <row r="32" ht="25" customHeight="1">
      <c r="A32" s="4" t="inlineStr">
        <is>
          <t>ثالثاً: مستلزمات التثبيت والمواد اللاصقة والاستهلاكية</t>
        </is>
      </c>
    </row>
    <row r="33" ht="22" customHeight="1">
      <c r="A33" s="9" t="n">
        <v>25</v>
      </c>
      <c r="B33" s="10" t="inlineStr">
        <is>
          <t>أفيز ستانلس ستيل حلزوني (Worm-gear) مقاس 16 مم لتأمين الوصلات الهامة</t>
        </is>
      </c>
      <c r="C33" s="9" t="inlineStr">
        <is>
          <t>قطعة</t>
        </is>
      </c>
      <c r="D33" s="11" t="n">
        <v>200</v>
      </c>
      <c r="E33" s="12" t="n">
        <v>4.5</v>
      </c>
      <c r="F33" s="12">
        <f>D33*E33</f>
        <v/>
      </c>
      <c r="G33" s="10" t="inlineStr">
        <is>
          <t>لتثبيت الخراطيم بالبادئات لمنع الخلع عند ارتفاع ضغط شبكة الري المفاجئ</t>
        </is>
      </c>
    </row>
    <row r="34" ht="22" customHeight="1">
      <c r="A34" s="5" t="n">
        <v>26</v>
      </c>
      <c r="B34" s="6" t="inlineStr">
        <is>
          <t>غراء مواسير PVC حار ثقيل عالي الضغط (مثل تانجيت Tangit ألماني علبة 1 كجم)</t>
        </is>
      </c>
      <c r="C34" s="5" t="inlineStr">
        <is>
          <t>علبة</t>
        </is>
      </c>
      <c r="D34" s="7" t="n">
        <v>4</v>
      </c>
      <c r="E34" s="8" t="n">
        <v>650</v>
      </c>
      <c r="F34" s="8">
        <f>D34*E34</f>
        <v/>
      </c>
      <c r="G34" s="6" t="inlineStr">
        <is>
          <t>لربط قطع المانيفولدات PVC PN25 وأي تعديلات في الخطوط الفرعية 75 مم والملحقات</t>
        </is>
      </c>
    </row>
    <row r="35" ht="22" customHeight="1">
      <c r="A35" s="9" t="n">
        <v>27</v>
      </c>
      <c r="B35" s="10" t="inlineStr">
        <is>
          <t>منظف ومجهز أسطح مواسير PVC (علبة 1 لتر نوع معتمد)</t>
        </is>
      </c>
      <c r="C35" s="9" t="inlineStr">
        <is>
          <t>علبة</t>
        </is>
      </c>
      <c r="D35" s="11" t="n">
        <v>2</v>
      </c>
      <c r="E35" s="12" t="n">
        <v>320</v>
      </c>
      <c r="F35" s="12">
        <f>D35*E35</f>
        <v/>
      </c>
      <c r="G35" s="10" t="inlineStr">
        <is>
          <t>لتنظيف أسطح المواسير قبل الغراء لضمان لحام كيميائي غير قابل للتسريب</t>
        </is>
      </c>
    </row>
    <row r="36" ht="22" customHeight="1">
      <c r="A36" s="5" t="n">
        <v>28</v>
      </c>
      <c r="B36" s="6" t="inlineStr">
        <is>
          <t>شريط تفلون مانع للتسريب عريض لفات جامبو ثقيل للرباط القلاووظ</t>
        </is>
      </c>
      <c r="C36" s="5" t="inlineStr">
        <is>
          <t>لفة</t>
        </is>
      </c>
      <c r="D36" s="7" t="n">
        <v>30</v>
      </c>
      <c r="E36" s="8" t="n">
        <v>15</v>
      </c>
      <c r="F36" s="8">
        <f>D36*E36</f>
        <v/>
      </c>
      <c r="G36" s="6" t="inlineStr">
        <is>
          <t>لتأمين وربط محابس الهواء والتوصيلات الملولبة ومنع أي تهريب مياه</t>
        </is>
      </c>
    </row>
    <row r="37" ht="22" customHeight="1">
      <c r="A37" s="9" t="n">
        <v>29</v>
      </c>
      <c r="B37" s="10" t="inlineStr">
        <is>
          <t>أفيز بلاستيك عريض شديد التحمل طول 30 سم (رباط كابلات) لتأمين مسارات الخراطيم</t>
        </is>
      </c>
      <c r="C37" s="9" t="inlineStr">
        <is>
          <t>كيس</t>
        </is>
      </c>
      <c r="D37" s="11" t="n">
        <v>5</v>
      </c>
      <c r="E37" s="12" t="n">
        <v>80</v>
      </c>
      <c r="F37" s="12">
        <f>D37*E37</f>
        <v/>
      </c>
      <c r="G37" s="10" t="inlineStr">
        <is>
          <t>كيس 100 قطعة لتثبيت الخراطيم بجوار جذوع الأشجار أو أسلاك الدعم</t>
        </is>
      </c>
    </row>
    <row r="38" ht="22" customHeight="1">
      <c r="A38" s="5" t="n">
        <v>30</v>
      </c>
      <c r="B38" s="6" t="inlineStr">
        <is>
          <t>مسامير سن صاج مجلفنة برأس صليبة مقاس 3.5 × 25 مم للتثبيت العام</t>
        </is>
      </c>
      <c r="C38" s="5" t="inlineStr">
        <is>
          <t>علبة</t>
        </is>
      </c>
      <c r="D38" s="7" t="n">
        <v>1</v>
      </c>
      <c r="E38" s="8" t="n">
        <v>120</v>
      </c>
      <c r="F38" s="8">
        <f>D38*E38</f>
        <v/>
      </c>
      <c r="G38" s="6" t="inlineStr">
        <is>
          <t>علبة 500 مسمار لتثبيت أي حوامل أو كشافات أو كبسولات التحكم الميداني</t>
        </is>
      </c>
    </row>
    <row r="39" ht="25" customHeight="1">
      <c r="A39" s="4" t="inlineStr">
        <is>
          <t>رابعاً: العدد اليدوية وأدوات العمل لإنجاز وتركيب الشبكة بالكامل</t>
        </is>
      </c>
    </row>
    <row r="40" ht="22" customHeight="1">
      <c r="A40" s="5" t="n">
        <v>31</v>
      </c>
      <c r="B40" s="6" t="inlineStr">
        <is>
          <t>خرامة خراطيم ري يدوية شديدة التحمل بقطر 3 مم (مخصصة لتركيب نقاطات الـ PC)</t>
        </is>
      </c>
      <c r="C40" s="5" t="inlineStr">
        <is>
          <t>قطعة</t>
        </is>
      </c>
      <c r="D40" s="7" t="n">
        <v>4</v>
      </c>
      <c r="E40" s="8" t="n">
        <v>90</v>
      </c>
      <c r="F40" s="8">
        <f>D40*E40</f>
        <v/>
      </c>
      <c r="G40" s="6" t="inlineStr">
        <is>
          <t>مخصصة لثقب خراطيم الـ PE بدقة متناهية دون توسيع الفتحة لمنع التسريب</t>
        </is>
      </c>
    </row>
    <row r="41" ht="22" customHeight="1">
      <c r="A41" s="9" t="n">
        <v>32</v>
      </c>
      <c r="B41" s="10" t="inlineStr">
        <is>
          <t>لقمة ثقب مواسير PVC (فونت بنطة كوبية) مقاس 16 مم شنيور للجلد والبادئات</t>
        </is>
      </c>
      <c r="C41" s="9" t="inlineStr">
        <is>
          <t>قطعة</t>
        </is>
      </c>
      <c r="D41" s="11" t="n">
        <v>2</v>
      </c>
      <c r="E41" s="12" t="n">
        <v>110</v>
      </c>
      <c r="F41" s="12">
        <f>D41*E41</f>
        <v/>
      </c>
      <c r="G41" s="10" t="inlineStr">
        <is>
          <t>تركب على الشنيور لعمل ثقوب دائرية منتظمة في مواسير الـ PVC لتركيب البادئات</t>
        </is>
      </c>
    </row>
    <row r="42" ht="22" customHeight="1">
      <c r="A42" s="5" t="n">
        <v>33</v>
      </c>
      <c r="B42" s="6" t="inlineStr">
        <is>
          <t>شنيور لاسلكي (شحن) 18 فولت شديد التحمل مع بطاريتين وشاحن للعمل الحقلي</t>
        </is>
      </c>
      <c r="C42" s="5" t="inlineStr">
        <is>
          <t>جهاز</t>
        </is>
      </c>
      <c r="D42" s="7" t="n">
        <v>2</v>
      </c>
      <c r="E42" s="8" t="n">
        <v>3400</v>
      </c>
      <c r="F42" s="8">
        <f>D42*E42</f>
        <v/>
      </c>
      <c r="G42" s="6" t="inlineStr">
        <is>
          <t>ماركة معتمدة لزوم تخريم مواسير الـ PVC في الميدان بعيداً عن مصادر الكهرباء</t>
        </is>
      </c>
    </row>
    <row r="43" ht="22" customHeight="1">
      <c r="A43" s="9" t="n">
        <v>34</v>
      </c>
      <c r="B43" s="10" t="inlineStr">
        <is>
          <t>كتر حاد (مشرط أمان بلاستيكي مقوى مع شفرات قابلة للاستبدال)</t>
        </is>
      </c>
      <c r="C43" s="9" t="inlineStr">
        <is>
          <t>قطعة</t>
        </is>
      </c>
      <c r="D43" s="11" t="n">
        <v>5</v>
      </c>
      <c r="E43" s="12" t="n">
        <v>45</v>
      </c>
      <c r="F43" s="12">
        <f>D43*E43</f>
        <v/>
      </c>
      <c r="G43" s="10" t="inlineStr">
        <is>
          <t>لقطع وتشذيب الخراطيم والمواسير بدقة وسرعة أثناء عملية التوصيل</t>
        </is>
      </c>
    </row>
    <row r="44" ht="22" customHeight="1">
      <c r="A44" s="5" t="n">
        <v>35</v>
      </c>
      <c r="B44" s="6" t="inlineStr">
        <is>
          <t>طقم شفرات كتر إضافية شديدة الحدة ستانلس ستيل</t>
        </is>
      </c>
      <c r="C44" s="5" t="inlineStr">
        <is>
          <t>علبة</t>
        </is>
      </c>
      <c r="D44" s="7" t="n">
        <v>2</v>
      </c>
      <c r="E44" s="8" t="n">
        <v>35</v>
      </c>
      <c r="F44" s="8">
        <f>D44*E44</f>
        <v/>
      </c>
      <c r="G44" s="6" t="inlineStr">
        <is>
          <t>علبة تحتوي على 10 شفرات بديلة لمتابعة العمل دون توقف بسبب تلم الكتر</t>
        </is>
      </c>
    </row>
    <row r="45" ht="22" customHeight="1">
      <c r="A45" s="9" t="n">
        <v>36</v>
      </c>
      <c r="B45" s="10" t="inlineStr">
        <is>
          <t>طقم مفكات مدمج عالي التحمل (يشمل مفكات عادة ومفكات صليبة جي إم مقاسات متعددة)</t>
        </is>
      </c>
      <c r="C45" s="9" t="inlineStr">
        <is>
          <t>طقم</t>
        </is>
      </c>
      <c r="D45" s="11" t="n">
        <v>4</v>
      </c>
      <c r="E45" s="12" t="n">
        <v>180</v>
      </c>
      <c r="F45" s="12">
        <f>D45*E45</f>
        <v/>
      </c>
      <c r="G45" s="10" t="inlineStr">
        <is>
          <t>لتثبيت الأفيز الستانلس وأعمال تجميع وصيانة صمامات الهواء وغيرها</t>
        </is>
      </c>
    </row>
    <row r="46" ht="22" customHeight="1">
      <c r="A46" s="5" t="n">
        <v>37</v>
      </c>
      <c r="B46" s="6" t="inlineStr">
        <is>
          <t>شريط قياس متين 50 متر (متر شريط فايبر جلاس للرفع المساحي الميداني)</t>
        </is>
      </c>
      <c r="C46" s="5" t="inlineStr">
        <is>
          <t>قطعة</t>
        </is>
      </c>
      <c r="D46" s="7" t="n">
        <v>2</v>
      </c>
      <c r="E46" s="8" t="n">
        <v>450</v>
      </c>
      <c r="F46" s="8">
        <f>D46*E46</f>
        <v/>
      </c>
      <c r="G46" s="6" t="inlineStr">
        <is>
          <t>لقياس وتحديد أبعاد صفوف خراطيم الري وتساوي تمديد الخطوط المزدوجة</t>
        </is>
      </c>
    </row>
    <row r="47" ht="22" customHeight="1">
      <c r="A47" s="9" t="n">
        <v>38</v>
      </c>
      <c r="B47" s="10" t="inlineStr">
        <is>
          <t>شريط قياس يدوي صغير 5 متر مقاوم للصدمات بجيب للقياس السريع</t>
        </is>
      </c>
      <c r="C47" s="9" t="inlineStr">
        <is>
          <t>قطعة</t>
        </is>
      </c>
      <c r="D47" s="11" t="n">
        <v>4</v>
      </c>
      <c r="E47" s="12" t="n">
        <v>85</v>
      </c>
      <c r="F47" s="12">
        <f>D47*E47</f>
        <v/>
      </c>
      <c r="G47" s="10" t="inlineStr">
        <is>
          <t>لتحديد المسافات الدقيقة بين شجرة المانجو وموقع النقاطات المحيطة بها</t>
        </is>
      </c>
    </row>
    <row r="48" ht="22" customHeight="1">
      <c r="A48" s="5" t="n">
        <v>39</v>
      </c>
      <c r="B48" s="6" t="inlineStr">
        <is>
          <t>قفازات واقية مبطنة ومقاومة للانزلاق ومخصصة لأعمال الشبكات والحفر</t>
        </is>
      </c>
      <c r="C48" s="5" t="inlineStr">
        <is>
          <t>زوج</t>
        </is>
      </c>
      <c r="D48" s="7" t="n">
        <v>10</v>
      </c>
      <c r="E48" s="8" t="n">
        <v>30</v>
      </c>
      <c r="F48" s="8">
        <f>D48*E48</f>
        <v/>
      </c>
      <c r="G48" s="6" t="inlineStr">
        <is>
          <t>لحماية أيدي العمال أثناء تخريم وشد الخراطيم والتعامل مع الغراء والحرارة</t>
        </is>
      </c>
    </row>
    <row r="49" ht="28" customHeight="1">
      <c r="A49" s="13" t="inlineStr">
        <is>
          <t>الإجمالي</t>
        </is>
      </c>
      <c r="B49" s="14" t="n"/>
      <c r="C49" s="14" t="n"/>
      <c r="D49" s="14" t="n"/>
      <c r="E49" s="14" t="n"/>
      <c r="F49" s="15">
        <f>SUM(F5:F48)</f>
        <v/>
      </c>
      <c r="G49" s="16" t="inlineStr">
        <is>
          <t>إجمالي تكلفة محطة الفلاتر ومستلزمات الخط المزدوج والأدوات</t>
        </is>
      </c>
    </row>
  </sheetData>
  <mergeCells count="8">
    <mergeCell ref="A32:G32"/>
    <mergeCell ref="A1:G1"/>
    <mergeCell ref="A39:G39"/>
    <mergeCell ref="A49:E49"/>
    <mergeCell ref="A2:G2"/>
    <mergeCell ref="A25:G25"/>
    <mergeCell ref="A11:G1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rightToLeft="1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5" customWidth="1" min="4" max="4"/>
    <col width="22" customWidth="1" min="5" max="5"/>
    <col width="22" customWidth="1" min="6" max="6"/>
    <col width="55" customWidth="1" min="7" max="7"/>
  </cols>
  <sheetData>
    <row r="1" ht="40" customHeight="1">
      <c r="A1" s="1" t="inlineStr">
        <is>
          <t>مقايسة توريد فلاتر AZUD Helix وخراطيم الري والنقاطات والعدد (نظام الخط الفردي - اقتصادي)</t>
        </is>
      </c>
    </row>
    <row r="2" ht="22" customHeight="1">
      <c r="A2" s="2" t="inlineStr">
        <is>
          <t>الفلاتر: منظومة AZUD Helix أوتوماتيكية 2/3 بوصة | المانيفولدات: PVC PN25 تصنيع محلي | الأشجار: 1,205 شجرة مانجو | خرطوم فردي 16 مم لكل صف</t>
        </is>
      </c>
    </row>
    <row r="4" ht="30" customHeight="1">
      <c r="A4" s="3" t="inlineStr">
        <is>
          <t>م</t>
        </is>
      </c>
      <c r="B4" s="3" t="inlineStr">
        <is>
          <t>البند والمواصفات الفنية بالتفصيل</t>
        </is>
      </c>
      <c r="C4" s="3" t="inlineStr">
        <is>
          <t>الوحدة</t>
        </is>
      </c>
      <c r="D4" s="3" t="inlineStr">
        <is>
          <t>الكمية الأساسية</t>
        </is>
      </c>
      <c r="E4" s="3" t="inlineStr">
        <is>
          <t>سعر الوحدة التقديري (ج.م)</t>
        </is>
      </c>
      <c r="F4" s="3" t="inlineStr">
        <is>
          <t>إجمالي السعر (ج.م)</t>
        </is>
      </c>
      <c r="G4" s="3" t="inlineStr">
        <is>
          <t>ملاحظات الاستخدام والتنفيذ الميداني</t>
        </is>
      </c>
    </row>
    <row r="5" ht="22" customHeight="1">
      <c r="A5" s="9" t="n">
        <v>2</v>
      </c>
      <c r="B5" s="10" t="inlineStr">
        <is>
          <t>محبس غسيل عكسي هيدروليكية ثلاثي المسارات (3-Way Backwash Hydraulic Valve) مقاس 3 بوصة × 2 بوصة × 3 بوصة مصنع من النايلون المقوى بالألياف الزجاجية (AZUD أصلية)</t>
        </is>
      </c>
      <c r="C5" s="9" t="inlineStr">
        <is>
          <t>قطعة</t>
        </is>
      </c>
      <c r="D5" s="11" t="n">
        <v>3</v>
      </c>
      <c r="E5" s="12" t="n">
        <v>8500</v>
      </c>
      <c r="F5" s="12">
        <f>D5*E5</f>
        <v/>
      </c>
      <c r="G5" s="10" t="inlineStr">
        <is>
          <t>لتوجيه وتنظيم تدفق مياه الغسيل العكسي تلقائياً لكل فلتر على حدة</t>
        </is>
      </c>
    </row>
    <row r="6" ht="22" customHeight="1">
      <c r="A6" s="5" t="n">
        <v>3</v>
      </c>
      <c r="B6" s="6" t="inlineStr">
        <is>
          <t>لوحة تحكم إلكترونية ذكية مقاومة للرطوبة IP65 لتنظيم دورات الغسيل العكسي تلقائياً (AZUD FBC Controller) تعمل ببطارية 12 فولت DC أو تيار 220 فولت AC</t>
        </is>
      </c>
      <c r="C6" s="5" t="inlineStr">
        <is>
          <t>جهاز</t>
        </is>
      </c>
      <c r="D6" s="7" t="n">
        <v>1</v>
      </c>
      <c r="E6" s="8" t="n">
        <v>15000</v>
      </c>
      <c r="F6" s="8">
        <f>D6*E6</f>
        <v/>
      </c>
      <c r="G6" s="6" t="inlineStr">
        <is>
          <t>تقوم بتنظيم زمن وتتابع فتح محابس الغسيل العكسي للفلاتر</t>
        </is>
      </c>
    </row>
    <row r="7" ht="22" customHeight="1">
      <c r="A7" s="9" t="n">
        <v>4</v>
      </c>
      <c r="B7" s="10" t="inlineStr">
        <is>
          <t>مفتاح قياس فرق الضغط الميكانيكي (Differential Pressure Switch) مزود بخطوط تحكم دقيقة بولي إيثيلين</t>
        </is>
      </c>
      <c r="C7" s="9" t="inlineStr">
        <is>
          <t>جهاز</t>
        </is>
      </c>
      <c r="D7" s="11" t="n">
        <v>1</v>
      </c>
      <c r="E7" s="12" t="n">
        <v>4500</v>
      </c>
      <c r="F7" s="12">
        <f>D7*E7</f>
        <v/>
      </c>
      <c r="G7" s="10" t="inlineStr">
        <is>
          <t>يعطي إشارة فورية للوحة التحكم لتفعيل الغسيل عند انسداد الفلاتر بمقدار 0.5 بار</t>
        </is>
      </c>
    </row>
    <row r="8" ht="22" customHeight="1">
      <c r="A8" s="5" t="n">
        <v>5</v>
      </c>
      <c r="B8" s="6" t="inlineStr">
        <is>
          <t>محبس فراشة (Butterfly Valve) عالي الضغط مقاس 3 بوصة كومر لعزل محطة الفلترة</t>
        </is>
      </c>
      <c r="C8" s="5" t="inlineStr">
        <is>
          <t>قطعة</t>
        </is>
      </c>
      <c r="D8" s="7" t="n">
        <v>2</v>
      </c>
      <c r="E8" s="8" t="n">
        <v>3200</v>
      </c>
      <c r="F8" s="8">
        <f>D8*E8</f>
        <v/>
      </c>
      <c r="G8" s="6" t="inlineStr">
        <is>
          <t>يركب على دخول وخروج المحطة لعزلها بالكامل لزوم الصيانة السنوية</t>
        </is>
      </c>
    </row>
    <row r="9" ht="22" customHeight="1">
      <c r="A9" s="9" t="n">
        <v>6</v>
      </c>
      <c r="B9" s="10" t="inlineStr">
        <is>
          <t>محبس عدم رجوع ثقيل بوابة مرنة (Check Valve) مقاس 3 بوصة فولاذ مقاوم للصدأ لمنع ارتداد المياه</t>
        </is>
      </c>
      <c r="C9" s="9" t="inlineStr">
        <is>
          <t>قطعة</t>
        </is>
      </c>
      <c r="D9" s="11" t="n">
        <v>1</v>
      </c>
      <c r="E9" s="12" t="n">
        <v>4800</v>
      </c>
      <c r="F9" s="12">
        <f>D9*E9</f>
        <v/>
      </c>
      <c r="G9" s="10" t="inlineStr">
        <is>
          <t>يمنع رجوع المياه المفلترة للخلف لحماية محطة الفلاتر والطلمبة</t>
        </is>
      </c>
    </row>
    <row r="10" ht="22" customHeight="1">
      <c r="A10" s="5" t="n">
        <v>7</v>
      </c>
      <c r="B10" s="6" t="inlineStr">
        <is>
          <t>محبس إطلاق وتفريغ الهواء هيدروليكي (Air Release Valve) مقاس 2 بوصة للخط الرئيسي والمانيفولد</t>
        </is>
      </c>
      <c r="C10" s="5" t="inlineStr">
        <is>
          <t>قطعة</t>
        </is>
      </c>
      <c r="D10" s="7" t="n">
        <v>2</v>
      </c>
      <c r="E10" s="8" t="n">
        <v>1800</v>
      </c>
      <c r="F10" s="8">
        <f>D10*E10</f>
        <v/>
      </c>
      <c r="G10" s="6" t="inlineStr">
        <is>
          <t>لمنع الجيوب الهوائية في المانيفولد الرئيسي وضمان انتظام تدفق المياه</t>
        </is>
      </c>
    </row>
    <row r="11" ht="25" customHeight="1">
      <c r="A11" s="4" t="inlineStr">
        <is>
          <t>ثانياً: خراطيم الري البولي إيثيلين والنقاطات وملحقات التوصيل والمياه</t>
        </is>
      </c>
    </row>
    <row r="12" ht="22" customHeight="1">
      <c r="A12" s="5" t="n">
        <v>8</v>
      </c>
      <c r="B12" s="6" t="inlineStr">
        <is>
          <t>خرطوم بولي إيثيلين Ø16 مم ساده (سُمك 1.2 مم - ضغط PN6) مقاوم لأشعة الشمس لفة 400 متر (معتمد)</t>
        </is>
      </c>
      <c r="C12" s="5" t="inlineStr">
        <is>
          <t>لفة</t>
        </is>
      </c>
      <c r="D12" s="7" t="n">
        <v>20</v>
      </c>
      <c r="E12" s="8" t="n">
        <v>1800</v>
      </c>
      <c r="F12" s="8">
        <f>D12*E12</f>
        <v/>
      </c>
      <c r="G12" s="6" t="inlineStr">
        <is>
          <t>لفة 400 متر (إجمالي 8,000 متر طولي تشمل 10% هالك وتداخلات)</t>
        </is>
      </c>
    </row>
    <row r="13" ht="22" customHeight="1">
      <c r="A13" s="9" t="n">
        <v>9</v>
      </c>
      <c r="B13" s="10" t="inlineStr">
        <is>
          <t>نقاط معوض للضغط (PC) تصرف 8 لتر/ساعة قابلة للتفكيك والتنظيف (نوع ممتاز مثل Netafim PCJ أو AZUD Click)</t>
        </is>
      </c>
      <c r="C13" s="9" t="inlineStr">
        <is>
          <t>قطعة</t>
        </is>
      </c>
      <c r="D13" s="11" t="n">
        <v>5300</v>
      </c>
      <c r="E13" s="12" t="n">
        <v>6.5</v>
      </c>
      <c r="F13" s="12">
        <f>D13*E13</f>
        <v/>
      </c>
      <c r="G13" s="10" t="inlineStr">
        <is>
          <t>أعلى جودة هيدروليكية (4820 نقاط للأشجار + 10% أمان للصيانة البديلة)</t>
        </is>
      </c>
    </row>
    <row r="14" ht="22" customHeight="1">
      <c r="A14" s="5" t="n">
        <v>10</v>
      </c>
      <c r="B14" s="6" t="inlineStr">
        <is>
          <t>بادئ توصيل 16 مم (بوشة سن ذكر + جلدة كاوتش مانعة للتسريب 16 مم) للتثبيت في مواسير الـ PVC</t>
        </is>
      </c>
      <c r="C14" s="5" t="inlineStr">
        <is>
          <t>طقم</t>
        </is>
      </c>
      <c r="D14" s="7" t="n">
        <v>50</v>
      </c>
      <c r="E14" s="8" t="n">
        <v>8.5</v>
      </c>
      <c r="F14" s="8">
        <f>D14*E14</f>
        <v/>
      </c>
      <c r="G14" s="6" t="inlineStr">
        <is>
          <t>عدد 42 صفاً فردياً + أمان للتالف (يستخدم للتوصيل من ماسورة 75 مم للخرطوم)</t>
        </is>
      </c>
    </row>
    <row r="15" ht="22" customHeight="1">
      <c r="A15" s="9" t="n">
        <v>11</v>
      </c>
      <c r="B15" s="10" t="inlineStr">
        <is>
          <t>نهاية خط ري (نظارة 16 مم بولي إيثيلين عالي الكثافة) لقفل نهايات الخراطيم</t>
        </is>
      </c>
      <c r="C15" s="9" t="inlineStr">
        <is>
          <t>قطعة</t>
        </is>
      </c>
      <c r="D15" s="11" t="n">
        <v>50</v>
      </c>
      <c r="E15" s="12" t="n">
        <v>2.5</v>
      </c>
      <c r="F15" s="12">
        <f>D15*E15</f>
        <v/>
      </c>
      <c r="G15" s="10" t="inlineStr">
        <is>
          <t>تستخدم لقفل وتأمين نهاية كل خرطوم ري وتسهيل الغسيل الدوري للخطوط</t>
        </is>
      </c>
    </row>
    <row r="16" ht="22" customHeight="1">
      <c r="A16" s="5" t="n">
        <v>12</v>
      </c>
      <c r="B16" s="6" t="inlineStr">
        <is>
          <t>وصلة إصلاح مستقيمة (نبل تصليح خراطيم 16 مم) لمعالجة القطوع وتوصيل الفواضل</t>
        </is>
      </c>
      <c r="C16" s="5" t="inlineStr">
        <is>
          <t>قطعة</t>
        </is>
      </c>
      <c r="D16" s="7" t="n">
        <v>150</v>
      </c>
      <c r="E16" s="8" t="n">
        <v>1.8</v>
      </c>
      <c r="F16" s="8">
        <f>D16*E16</f>
        <v/>
      </c>
      <c r="G16" s="6" t="inlineStr">
        <is>
          <t>لتفادي الهدر وتوصيل بقايا الخراطيم بكفاءة عالية ومنع التسريب الميداني</t>
        </is>
      </c>
    </row>
    <row r="17" ht="22" customHeight="1">
      <c r="A17" s="9" t="n">
        <v>13</v>
      </c>
      <c r="B17" s="10" t="inlineStr">
        <is>
          <t>محبس هواء وتفريغ الفراغ (فنتوس Kinetic Air Valve) مقاس 1 بوصة للشبكة الفرعية</t>
        </is>
      </c>
      <c r="C17" s="9" t="inlineStr">
        <is>
          <t>قطعة</t>
        </is>
      </c>
      <c r="D17" s="11" t="n">
        <v>3</v>
      </c>
      <c r="E17" s="12" t="n">
        <v>280</v>
      </c>
      <c r="F17" s="12">
        <f>D17*E17</f>
        <v/>
      </c>
      <c r="G17" s="10" t="inlineStr">
        <is>
          <t>يركب في أعلى نقطة بكل خط lateral لمنع انسداد الخطوط وجيوب الهواء</t>
        </is>
      </c>
    </row>
    <row r="18" ht="25" customHeight="1">
      <c r="A18" s="4" t="inlineStr">
        <is>
          <t>ثالثاً: مستلزمات التثبيت والمواد اللاصقة والاستهلاكية</t>
        </is>
      </c>
    </row>
    <row r="19" ht="22" customHeight="1">
      <c r="A19" s="9" t="n">
        <v>14</v>
      </c>
      <c r="B19" s="10" t="inlineStr">
        <is>
          <t>أفيز ستانلس ستيل حلزوني (Worm-gear) مقاس 16 مم لتأمين الوصلات الهامة</t>
        </is>
      </c>
      <c r="C19" s="9" t="inlineStr">
        <is>
          <t>قطعة</t>
        </is>
      </c>
      <c r="D19" s="11" t="n">
        <v>100</v>
      </c>
      <c r="E19" s="12" t="n">
        <v>4.5</v>
      </c>
      <c r="F19" s="12">
        <f>D19*E19</f>
        <v/>
      </c>
      <c r="G19" s="10" t="inlineStr">
        <is>
          <t>لتثبيت الخراطيم بالبادئات لمنع الخلع عند ارتفاع ضغط شبكة الري المفاجئ</t>
        </is>
      </c>
    </row>
    <row r="20" ht="22" customHeight="1">
      <c r="A20" s="5" t="n">
        <v>15</v>
      </c>
      <c r="B20" s="6" t="inlineStr">
        <is>
          <t>غراء مواسير PVC حار ثقيل عالي الضغط (مثل تانجيت Tangit ألماني علبة 1 كجم)</t>
        </is>
      </c>
      <c r="C20" s="5" t="inlineStr">
        <is>
          <t>علبة</t>
        </is>
      </c>
      <c r="D20" s="7" t="n">
        <v>4</v>
      </c>
      <c r="E20" s="8" t="n">
        <v>650</v>
      </c>
      <c r="F20" s="8">
        <f>D20*E20</f>
        <v/>
      </c>
      <c r="G20" s="6" t="inlineStr">
        <is>
          <t>لربط أي قطع أو تعديلات في الخطوط الفرعية 75 مم والملحقات</t>
        </is>
      </c>
    </row>
    <row r="21" ht="22" customHeight="1">
      <c r="A21" s="9" t="n">
        <v>16</v>
      </c>
      <c r="B21" s="10" t="inlineStr">
        <is>
          <t>منظف ومجهز أسطح مواسير PVC (علبة 1 لتر نوع معتمد)</t>
        </is>
      </c>
      <c r="C21" s="9" t="inlineStr">
        <is>
          <t>علبة</t>
        </is>
      </c>
      <c r="D21" s="11" t="n">
        <v>2</v>
      </c>
      <c r="E21" s="12" t="n">
        <v>320</v>
      </c>
      <c r="F21" s="12">
        <f>D21*E21</f>
        <v/>
      </c>
      <c r="G21" s="10" t="inlineStr">
        <is>
          <t>لتنظيف أسطح المواسير قبل الغراء لضمان لحام كيميائي غير قابل للتسريب</t>
        </is>
      </c>
    </row>
    <row r="22" ht="22" customHeight="1">
      <c r="A22" s="5" t="n">
        <v>17</v>
      </c>
      <c r="B22" s="6" t="inlineStr">
        <is>
          <t>شريط تفلون مانع للتسريب عريض لفات جامبو ثقيل للرباط القلاووظ</t>
        </is>
      </c>
      <c r="C22" s="5" t="inlineStr">
        <is>
          <t>لفة</t>
        </is>
      </c>
      <c r="D22" s="7" t="n">
        <v>30</v>
      </c>
      <c r="E22" s="8" t="n">
        <v>15</v>
      </c>
      <c r="F22" s="8">
        <f>D22*E22</f>
        <v/>
      </c>
      <c r="G22" s="6" t="inlineStr">
        <is>
          <t>لتأمين وربط محابس الهواء والتوصيلات الملولبة ومنع أي تهريب مياه</t>
        </is>
      </c>
    </row>
    <row r="23" ht="22" customHeight="1">
      <c r="A23" s="9" t="n">
        <v>18</v>
      </c>
      <c r="B23" s="10" t="inlineStr">
        <is>
          <t>أفيز بلاستيك عريض شديد التحمل طول 30 سم (رباط كابلات) لتأمين مسارات الخراطيم</t>
        </is>
      </c>
      <c r="C23" s="9" t="inlineStr">
        <is>
          <t>كيس</t>
        </is>
      </c>
      <c r="D23" s="11" t="n">
        <v>3</v>
      </c>
      <c r="E23" s="12" t="n">
        <v>80</v>
      </c>
      <c r="F23" s="12">
        <f>D23*E23</f>
        <v/>
      </c>
      <c r="G23" s="10" t="inlineStr">
        <is>
          <t>كيس 100 قطعة لتثبيت الخراطيم بجوار جذوع الأشجار أو أسلاك الدعم</t>
        </is>
      </c>
    </row>
    <row r="24" ht="22" customHeight="1">
      <c r="A24" s="5" t="n">
        <v>19</v>
      </c>
      <c r="B24" s="6" t="inlineStr">
        <is>
          <t>مسامير سن صاج مجلفنة برأس صليبة مقاس 3.5 × 25 مم للتثبيت العام</t>
        </is>
      </c>
      <c r="C24" s="5" t="inlineStr">
        <is>
          <t>علبة</t>
        </is>
      </c>
      <c r="D24" s="7" t="n">
        <v>1</v>
      </c>
      <c r="E24" s="8" t="n">
        <v>120</v>
      </c>
      <c r="F24" s="8">
        <f>D24*E24</f>
        <v/>
      </c>
      <c r="G24" s="6" t="inlineStr">
        <is>
          <t>علبة 500 مسمار لتثبيت أي حوامل أو كشافات أو كبسولات التحكم الميداني</t>
        </is>
      </c>
    </row>
    <row r="25" ht="25" customHeight="1">
      <c r="A25" s="4" t="inlineStr">
        <is>
          <t>رابعاً: العدد اليدوية وأدوات العمل لإنجاز وتركيب الشبكة بالكامل</t>
        </is>
      </c>
    </row>
    <row r="26" ht="22" customHeight="1">
      <c r="A26" s="5" t="n">
        <v>20</v>
      </c>
      <c r="B26" s="6" t="inlineStr">
        <is>
          <t>خرامة خراطيم ري يدوية شديدة التحمل بقطر 3 مم (مخصصة لتركيب نقاطات الـ PC)</t>
        </is>
      </c>
      <c r="C26" s="5" t="inlineStr">
        <is>
          <t>قطعة</t>
        </is>
      </c>
      <c r="D26" s="7" t="n">
        <v>4</v>
      </c>
      <c r="E26" s="8" t="n">
        <v>90</v>
      </c>
      <c r="F26" s="8">
        <f>D26*E26</f>
        <v/>
      </c>
      <c r="G26" s="6" t="inlineStr">
        <is>
          <t>مخصصة لثقب خراطيم الـ PE بدقة متناهية دون توسيع الفتحة لمنع التسريب</t>
        </is>
      </c>
    </row>
    <row r="27" ht="22" customHeight="1">
      <c r="A27" s="9" t="n">
        <v>21</v>
      </c>
      <c r="B27" s="10" t="inlineStr">
        <is>
          <t>لقمة ثقب مواسير PVC (فونت بنطة كوبية) مقاس 16 مم شنيور للجلد والبادئات</t>
        </is>
      </c>
      <c r="C27" s="9" t="inlineStr">
        <is>
          <t>قطعة</t>
        </is>
      </c>
      <c r="D27" s="11" t="n">
        <v>2</v>
      </c>
      <c r="E27" s="12" t="n">
        <v>110</v>
      </c>
      <c r="F27" s="12">
        <f>D27*E27</f>
        <v/>
      </c>
      <c r="G27" s="10" t="inlineStr">
        <is>
          <t>تركب على الشنيور لعمل ثقوب دائرية منتظمة في مواسير الـ PVC لتركيب البادئات</t>
        </is>
      </c>
    </row>
    <row r="28" ht="22" customHeight="1">
      <c r="A28" s="5" t="n">
        <v>22</v>
      </c>
      <c r="B28" s="6" t="inlineStr">
        <is>
          <t>شنيور لاسلكي (شحن) 18 فولت شديد التحمل مع بطاريتين وشاحن للعمل الحقلي</t>
        </is>
      </c>
      <c r="C28" s="5" t="inlineStr">
        <is>
          <t>جهاز</t>
        </is>
      </c>
      <c r="D28" s="7" t="n">
        <v>2</v>
      </c>
      <c r="E28" s="8" t="n">
        <v>3400</v>
      </c>
      <c r="F28" s="8">
        <f>D28*E28</f>
        <v/>
      </c>
      <c r="G28" s="6" t="inlineStr">
        <is>
          <t>ماركة معتمدة لزوم تخريم مواسير الـ PVC في الميدان بعيداً عن مصادر الكهرباء</t>
        </is>
      </c>
    </row>
    <row r="29" ht="22" customHeight="1">
      <c r="A29" s="9" t="n">
        <v>23</v>
      </c>
      <c r="B29" s="10" t="inlineStr">
        <is>
          <t>كتر حاد (مشرط أمان بلاستيكي مقوى مع شفرات قابلة للاستبدال)</t>
        </is>
      </c>
      <c r="C29" s="9" t="inlineStr">
        <is>
          <t>قطعة</t>
        </is>
      </c>
      <c r="D29" s="11" t="n">
        <v>5</v>
      </c>
      <c r="E29" s="12" t="n">
        <v>45</v>
      </c>
      <c r="F29" s="12">
        <f>D29*E29</f>
        <v/>
      </c>
      <c r="G29" s="10" t="inlineStr">
        <is>
          <t>لقطع وتشذيب خراطيم الـ PE ومواسير الـ PVC بدقة</t>
        </is>
      </c>
    </row>
    <row r="30" ht="22" customHeight="1">
      <c r="A30" s="5" t="n">
        <v>24</v>
      </c>
      <c r="B30" s="6" t="inlineStr">
        <is>
          <t>طقم شفرات كتر إضافية شديدة الحدة ستانلس ستيل</t>
        </is>
      </c>
      <c r="C30" s="5" t="inlineStr">
        <is>
          <t>علبة</t>
        </is>
      </c>
      <c r="D30" s="7" t="n">
        <v>2</v>
      </c>
      <c r="E30" s="8" t="n">
        <v>35</v>
      </c>
      <c r="F30" s="8">
        <f>D30*E30</f>
        <v/>
      </c>
      <c r="G30" s="6" t="inlineStr">
        <is>
          <t>علبة تحتوي على 10 شفرات بديلة لمتابعة العمل دون توقف بسبب تلم الكتر</t>
        </is>
      </c>
    </row>
    <row r="31" ht="22" customHeight="1">
      <c r="A31" s="9" t="n">
        <v>25</v>
      </c>
      <c r="B31" s="10" t="inlineStr">
        <is>
          <t>طقم مفكات مدمج عالي التحمل (يشمل مفكات عادة ومفكات صليبة جي إم مقاسات متعددة)</t>
        </is>
      </c>
      <c r="C31" s="9" t="inlineStr">
        <is>
          <t>طقم</t>
        </is>
      </c>
      <c r="D31" s="11" t="n">
        <v>4</v>
      </c>
      <c r="E31" s="12" t="n">
        <v>180</v>
      </c>
      <c r="F31" s="12">
        <f>D31*E31</f>
        <v/>
      </c>
      <c r="G31" s="10" t="inlineStr">
        <is>
          <t>لتثبيت الأفيز الستانلس وأعمال تجميع وصيانة صمامات الهواء وغيرها</t>
        </is>
      </c>
    </row>
    <row r="32" ht="22" customHeight="1">
      <c r="A32" s="5" t="n">
        <v>26</v>
      </c>
      <c r="B32" s="6" t="inlineStr">
        <is>
          <t>شريط قياس متين 50 متر (متر شريط فايبر جلاس للرفع المساحي الميداني)</t>
        </is>
      </c>
      <c r="C32" s="5" t="inlineStr">
        <is>
          <t>قطعة</t>
        </is>
      </c>
      <c r="D32" s="7" t="n">
        <v>2</v>
      </c>
      <c r="E32" s="8" t="n">
        <v>450</v>
      </c>
      <c r="F32" s="8">
        <f>D32*E32</f>
        <v/>
      </c>
      <c r="G32" s="6" t="inlineStr">
        <is>
          <t>لقياس وتحديد أبعاد صفوف خراطيم الري وتساوي تمديد الخطوط المزدوجة</t>
        </is>
      </c>
    </row>
    <row r="33" ht="22" customHeight="1">
      <c r="A33" s="9" t="n">
        <v>27</v>
      </c>
      <c r="B33" s="10" t="inlineStr">
        <is>
          <t>شريط قياس يدوي صغير 5 متر مقاوم للصدمات بجيب للقياس السريع</t>
        </is>
      </c>
      <c r="C33" s="9" t="inlineStr">
        <is>
          <t>قطعة</t>
        </is>
      </c>
      <c r="D33" s="11" t="n">
        <v>4</v>
      </c>
      <c r="E33" s="12" t="n">
        <v>85</v>
      </c>
      <c r="F33" s="12">
        <f>D33*E33</f>
        <v/>
      </c>
      <c r="G33" s="10" t="inlineStr">
        <is>
          <t>لتحديد المسافات الدقيقة بين شجرة المانجو وموقع النقاطات المحيطة بها</t>
        </is>
      </c>
    </row>
    <row r="34" ht="22" customHeight="1">
      <c r="A34" s="5" t="n">
        <v>28</v>
      </c>
      <c r="B34" s="6" t="inlineStr">
        <is>
          <t>قفازات واقية مبطنة ومقاومة للانزلاق ومخصصة لأعمال الشبكات والحفر</t>
        </is>
      </c>
      <c r="C34" s="5" t="inlineStr">
        <is>
          <t>زوج</t>
        </is>
      </c>
      <c r="D34" s="7" t="n">
        <v>10</v>
      </c>
      <c r="E34" s="8" t="n">
        <v>30</v>
      </c>
      <c r="F34" s="8">
        <f>D34*E34</f>
        <v/>
      </c>
      <c r="G34" s="6" t="inlineStr">
        <is>
          <t>لحماية أيدي العمال أثناء تخريم وشد الخراطيم والتعامل مع الغراء والحرارة</t>
        </is>
      </c>
    </row>
    <row r="35" ht="28" customHeight="1">
      <c r="A35" s="13" t="inlineStr">
        <is>
          <t>الإجمالي</t>
        </is>
      </c>
      <c r="B35" s="14" t="n"/>
      <c r="C35" s="14" t="n"/>
      <c r="D35" s="14" t="n"/>
      <c r="E35" s="14" t="n"/>
      <c r="F35" s="15">
        <f>SUM(F5:F34)</f>
        <v/>
      </c>
      <c r="G35" s="16" t="inlineStr">
        <is>
          <t>إجمالي تكلفة محطة الفلاتر ومستلزمات الخط الفردي والأدوات</t>
        </is>
      </c>
    </row>
  </sheetData>
  <mergeCells count="6">
    <mergeCell ref="A35:E35"/>
    <mergeCell ref="A1:G1"/>
    <mergeCell ref="A18:G18"/>
    <mergeCell ref="A2:G2"/>
    <mergeCell ref="A25:G25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rightToLeft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5" customWidth="1" min="4" max="4"/>
    <col width="35" customWidth="1" min="5" max="5"/>
  </cols>
  <sheetData>
    <row r="1" ht="40" customHeight="1">
      <c r="A1" s="1" t="inlineStr">
        <is>
          <t>التحليل المالي والزراعي للمقارنة بين نظام الخط الفردي والخط المزدوج</t>
        </is>
      </c>
    </row>
    <row r="3" ht="28" customHeight="1">
      <c r="A3" s="3" t="inlineStr">
        <is>
          <t>وجه المقارنة</t>
        </is>
      </c>
      <c r="B3" s="3" t="inlineStr">
        <is>
          <t>نظام الخط الفردي (Single Line)</t>
        </is>
      </c>
      <c r="C3" s="3" t="inlineStr">
        <is>
          <t>نظام الخط المزدوج (Double Line)</t>
        </is>
      </c>
      <c r="D3" s="3" t="inlineStr">
        <is>
          <t>الفارق الفني والهيدروليكي</t>
        </is>
      </c>
      <c r="E3" s="3" t="inlineStr">
        <is>
          <t>توصية المهندس الاستشاري</t>
        </is>
      </c>
    </row>
    <row r="4" ht="28" customHeight="1">
      <c r="A4" s="17" t="inlineStr">
        <is>
          <t>منظومة فلاتر AZUD Helix 3"</t>
        </is>
      </c>
      <c r="B4" s="18" t="inlineStr">
        <is>
          <t>منظومة أوتوماتيكية متكاملة بقطر 3 بوصة</t>
        </is>
      </c>
      <c r="C4" s="18" t="inlineStr">
        <is>
          <t>منظومة أوتوماتيكية متكاملة بقطر 3 بوصة</t>
        </is>
      </c>
      <c r="D4" s="17" t="inlineStr">
        <is>
          <t>لا توجد فروق (نفس منظومة الفلترة القرصية)</t>
        </is>
      </c>
      <c r="E4" s="17" t="inlineStr">
        <is>
          <t>الفلاتر الأوتوماتيكية AZUD Helix أساسية لحماية النقاطات</t>
        </is>
      </c>
    </row>
    <row r="5" ht="28" customHeight="1">
      <c r="A5" s="19" t="inlineStr">
        <is>
          <t>طول خراطيم الري المطلوبة</t>
        </is>
      </c>
      <c r="B5" s="20" t="inlineStr">
        <is>
          <t>8,000 متر طولي (20 لفة)</t>
        </is>
      </c>
      <c r="C5" s="20" t="inlineStr">
        <is>
          <t>16,000 متر طولي (40 لفة)</t>
        </is>
      </c>
      <c r="D5" s="19" t="inlineStr">
        <is>
          <t>الخط المزدوج يضاعف أطوال الخراطيم</t>
        </is>
      </c>
      <c r="E5" s="19" t="inlineStr">
        <is>
          <t>الخط المزدوج ضروري لأشجار المانجو فوق 3 سنوات</t>
        </is>
      </c>
    </row>
    <row r="6" ht="28" customHeight="1">
      <c r="A6" s="21" t="inlineStr">
        <is>
          <t>إجمالي تكلفة المكونات والأدوات</t>
        </is>
      </c>
      <c r="B6" s="22">
        <f>'المقايسة - خط فردي (اقتصادي)'!F35</f>
        <v/>
      </c>
      <c r="C6" s="22">
        <f>'المقايسة - خط مزدوج (موصى به)'!F49</f>
        <v/>
      </c>
      <c r="D6" s="23">
        <f>(C6-B6)</f>
        <v/>
      </c>
      <c r="E6" s="21" t="inlineStr">
        <is>
          <t>الفرق في التكلفة ضئيل جداً مقارنة بالعائد الإنتاجي للأشجار</t>
        </is>
      </c>
    </row>
    <row r="7" ht="28" customHeight="1">
      <c r="A7" s="19" t="inlineStr">
        <is>
          <t>توزيع رطوبة التربة (Wet Zone)</t>
        </is>
      </c>
      <c r="B7" s="20" t="inlineStr">
        <is>
          <t>شريط ترطيب ضيق جداً بجوار الجذوع</t>
        </is>
      </c>
      <c r="C7" s="20" t="inlineStr">
        <is>
          <t>شريط ترطيب عريض على جانبي الشجرة</t>
        </is>
      </c>
      <c r="D7" s="19" t="inlineStr">
        <is>
          <t>الخط المزدوج يوفر رطوبة متوازنة لكامل المجموع الجذري</t>
        </is>
      </c>
      <c r="E7" s="19" t="inlineStr">
        <is>
          <t>الخط المزدوج يمنع تركز الأملاح بجوار الجذوع</t>
        </is>
      </c>
    </row>
    <row r="8" ht="28" customHeight="1">
      <c r="A8" s="17" t="inlineStr">
        <is>
          <t>نمو وتعمق الجذور</t>
        </is>
      </c>
      <c r="B8" s="18" t="inlineStr">
        <is>
          <t>تمركز الجذور in مساحة ضيقة جداً ومحدودة</t>
        </is>
      </c>
      <c r="C8" s="18" t="inlineStr">
        <is>
          <t>انتشار أفقي متوازن وعميق للجذور المغذية</t>
        </is>
      </c>
      <c r="D8" s="17" t="inlineStr">
        <is>
          <t>الانتشار المتوازن يقوي الشجرة ضد الرياح ويزيد امتصاص الأسمدة</t>
        </is>
      </c>
      <c r="E8" s="17" t="inlineStr">
        <is>
          <t>موصى به لزيادة استقرار وتغذية الأشجار البالغة</t>
        </is>
      </c>
    </row>
    <row r="9" ht="28" customHeight="1">
      <c r="A9" s="19" t="inlineStr">
        <is>
          <t>توزيع النقاطات حول الشجرة</t>
        </is>
      </c>
      <c r="B9" s="20" t="inlineStr">
        <is>
          <t>توضع النقاطات على خط واحد (2 يمين و2 يسار)</t>
        </is>
      </c>
      <c r="C9" s="20" t="inlineStr">
        <is>
          <t>توضع النقاطات على خطين (2 على كل خط)</t>
        </is>
      </c>
      <c r="D9" s="19" t="inlineStr">
        <is>
          <t>توزيع مثالي لمنع اختناق الجذور وتهوية التربة</t>
        </is>
      </c>
      <c r="E9" s="19" t="inlineStr">
        <is>
          <t>توزيع هيدروليكي أفضل يضمن تصرفاً متساوياً للنقاطات</t>
        </is>
      </c>
    </row>
    <row r="10" ht="28" customHeight="1">
      <c r="A10" s="17" t="inlineStr">
        <is>
          <t>كفاءة استخدام التسميد (Fertigation)</t>
        </is>
      </c>
      <c r="B10" s="18" t="inlineStr">
        <is>
          <t>كفاءة متوسطة وتفوق قدرة امتصاص الجذور الضيقة</t>
        </is>
      </c>
      <c r="C10" s="18" t="inlineStr">
        <is>
          <t>كفاءة عالية جداً لزيادة المساحة المبللة والنشطة</t>
        </is>
      </c>
      <c r="D10" s="17" t="inlineStr">
        <is>
          <t>السماد يتوزع بشكل أفضل مما يقلل الفواقد في أعماق التربة</t>
        </is>
      </c>
      <c r="E10" s="17" t="inlineStr">
        <is>
          <t>يوفر في الأسمدة الكيميائية بنسبة تصل إلى 20%</t>
        </is>
      </c>
    </row>
    <row r="11" ht="28" customHeight="1">
      <c r="A11" s="19" t="inlineStr">
        <is>
          <t>عمر الشبكة الافتراضي وقابليتها للصيانة</t>
        </is>
      </c>
      <c r="B11" s="20" t="inlineStr">
        <is>
          <t>تتعرض للاهتراء سريعاً عند التكريك أو العزيق بجوار الجذع</t>
        </is>
      </c>
      <c r="C11" s="20" t="inlineStr">
        <is>
          <t>توضع بعيداً عن الجذع مما يسهل عمليات الخدمة ومقاومة الآفات</t>
        </is>
      </c>
      <c r="D11" s="19" t="inlineStr">
        <is>
          <t>سهولة غسيل الخطوط وصيانتها وحمايتها من القوارض</t>
        </is>
      </c>
      <c r="E11" s="19" t="inlineStr">
        <is>
          <t>أسهل في الصيانة وتمديد خطوط الخدمة والجمع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2026-05-20T19:49:59Z</dcterms:created>
  <dcterms:modified xmlns:dcterms="http://purl.org/dc/terms/" xmlns:xsi="http://www.w3.org/2001/XMLSchema-instance" xsi:type="dcterms:W3CDTF">2026-05-20T19:49:59Z</dcterms:modified>
</cp:coreProperties>
</file>