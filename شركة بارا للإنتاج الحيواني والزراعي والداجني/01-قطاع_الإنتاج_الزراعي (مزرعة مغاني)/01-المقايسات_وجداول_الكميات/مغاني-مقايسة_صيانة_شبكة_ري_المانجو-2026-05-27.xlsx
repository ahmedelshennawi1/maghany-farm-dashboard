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d.docs.live.net/cb0dfa12e4529a8f/Documents/MAGHANY_FARM/"/>
    </mc:Choice>
  </mc:AlternateContent>
  <xr:revisionPtr revIDLastSave="1218" documentId="11_F355B8B35D83D903AE55B1D109F8EF68AC3142FA" xr6:coauthVersionLast="47" xr6:coauthVersionMax="47" xr10:uidLastSave="{906FD9AB-0060-4377-81ED-5071741503FA}"/>
  <bookViews>
    <workbookView xWindow="-108" yWindow="492" windowWidth="23256" windowHeight="11856" activeTab="3" xr2:uid="{00000000-000D-0000-FFFF-FFFF00000000}"/>
  </bookViews>
  <sheets>
    <sheet name="BoQ" sheetId="1" r:id="rId1"/>
    <sheet name="Sheet4" sheetId="7" r:id="rId2"/>
    <sheet name="Assumptions" sheetId="2" r:id="rId3"/>
    <sheet name="Sheet1" sheetId="4" r:id="rId4"/>
    <sheet name="Maintenance Checklist" sheetId="3" r:id="rId5"/>
    <sheet name="Sheet2" sheetId="5" r:id="rId6"/>
    <sheet name="Sheet3" sheetId="6" r:id="rId7"/>
    <sheet name="Sheet5" sheetId="8" r:id="rId8"/>
  </sheets>
  <definedNames>
    <definedName name="_xlnm.Print_Area" localSheetId="0">BoQ!$A$1:$H$25</definedName>
    <definedName name="_xlnm.Print_Area" localSheetId="5">Sheet2!$B$1:$G$56</definedName>
    <definedName name="_xlnm.Print_Area" localSheetId="7">Sheet5!$A$2:$G$6</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8" l="1"/>
  <c r="E4" i="8" s="1"/>
  <c r="E3" i="8"/>
  <c r="E5" i="8"/>
  <c r="E6" i="8"/>
  <c r="E2" i="8"/>
  <c r="D3" i="7"/>
  <c r="D4" i="7"/>
  <c r="D1" i="7"/>
  <c r="D2" i="7"/>
  <c r="F2" i="7"/>
  <c r="F1" i="7"/>
  <c r="B2" i="6" a="1"/>
  <c r="B2" i="6" s="1"/>
  <c r="B1" i="6" a="1"/>
  <c r="B1" i="6" s="1"/>
  <c r="G1" i="5" l="1"/>
  <c r="G53" i="5"/>
  <c r="G7" i="5" s="1"/>
  <c r="G48" i="5"/>
  <c r="G6" i="5" s="1"/>
  <c r="G41" i="5"/>
  <c r="G5" i="5" s="1"/>
  <c r="G35" i="5"/>
  <c r="G4" i="5" s="1"/>
  <c r="D15" i="1"/>
  <c r="F15" i="1"/>
  <c r="F21" i="1"/>
  <c r="F22" i="1"/>
  <c r="F23" i="1"/>
  <c r="F24" i="1"/>
  <c r="F12" i="1"/>
  <c r="F20" i="1"/>
  <c r="F19" i="1"/>
  <c r="F18" i="1"/>
  <c r="F17" i="1"/>
  <c r="F16" i="1"/>
  <c r="F14" i="1"/>
  <c r="F13" i="1"/>
  <c r="F11" i="1"/>
  <c r="F10" i="1"/>
  <c r="F9" i="1"/>
  <c r="F8" i="1"/>
  <c r="F7" i="1"/>
  <c r="F6" i="1"/>
  <c r="F5" i="1"/>
  <c r="F4" i="1"/>
  <c r="F3" i="1"/>
  <c r="F2" i="1"/>
  <c r="F25" i="1"/>
  <c r="G56" i="5" l="1"/>
  <c r="G9" i="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2"/>
        </ext>
      </extLst>
    </bk>
    <bk>
      <extLst>
        <ext uri="{3e2802c4-a4d2-4d8b-9148-e3be6c30e623}">
          <xlrd:rvb i="5"/>
        </ext>
      </extLst>
    </bk>
  </futureMetadata>
  <cellMetadata count="1">
    <bk>
      <rc t="1" v="0"/>
    </bk>
  </cellMetadata>
  <valueMetadata count="2">
    <bk>
      <rc t="2" v="0"/>
    </bk>
    <bk>
      <rc t="2" v="1"/>
    </bk>
  </valueMetadata>
</metadata>
</file>

<file path=xl/sharedStrings.xml><?xml version="1.0" encoding="utf-8"?>
<sst xmlns="http://schemas.openxmlformats.org/spreadsheetml/2006/main" count="299" uniqueCount="219">
  <si>
    <t>Item Description</t>
  </si>
  <si>
    <t>Unit</t>
  </si>
  <si>
    <t>Qty</t>
  </si>
  <si>
    <t>Unit Rate</t>
  </si>
  <si>
    <t>Total</t>
  </si>
  <si>
    <t>Tech Notes</t>
  </si>
  <si>
    <t>lump sum</t>
  </si>
  <si>
    <t>Hydraulic diagnostics &amp; pressure/flow mapping</t>
  </si>
  <si>
    <t>visit</t>
  </si>
  <si>
    <t>Pressure readings at pump, filters, mainline, submains, laterals.</t>
  </si>
  <si>
    <t>Leak detection &amp; network walk-through</t>
  </si>
  <si>
    <t>ha</t>
  </si>
  <si>
    <t>Visual inspection per hectare; mark failures on GIS/plan.</t>
  </si>
  <si>
    <t>Pump set inspection (seals, bearings, foot valve)</t>
  </si>
  <si>
    <t>set</t>
  </si>
  <si>
    <t>Tighten couplings, check vibration &amp; alignment.</t>
  </si>
  <si>
    <t>Backwash/clean disc or screen filter (50–130 micron)</t>
  </si>
  <si>
    <t>Media filter backwash &amp; media top-up</t>
  </si>
  <si>
    <t>Add silica media as needed; calibrate backwash cycles.</t>
  </si>
  <si>
    <t>Replace differential pressure gauges (0–6 bar)</t>
  </si>
  <si>
    <t>ea</t>
  </si>
  <si>
    <t>Glycerin filled, 1/4" connection.</t>
  </si>
  <si>
    <t>Flush mainline &amp; submains</t>
  </si>
  <si>
    <t>hour</t>
  </si>
  <si>
    <t>Open end caps; flush until water clears.</t>
  </si>
  <si>
    <t>Calibrate injection rate; leak test.</t>
  </si>
  <si>
    <t>Pressure reducing valve (PRV) service/replacement</t>
  </si>
  <si>
    <t>Set zone pressure to crop spec.</t>
  </si>
  <si>
    <t>Air/vacuum release valve service/replacement</t>
  </si>
  <si>
    <t>Install at high points; test operation.</t>
  </si>
  <si>
    <t>m</t>
  </si>
  <si>
    <t>Excavation in soft soil for trenches (≤1.0 m depth)</t>
  </si>
  <si>
    <t>Width per pipe OD+20 cm.</t>
  </si>
  <si>
    <t>Polyethylene lateral Ø16 mm (1.2–1.6 mm wall) – supply &amp; install</t>
  </si>
  <si>
    <t>UV-stabilized; ensure straight runs.</t>
  </si>
  <si>
    <t>Match spacing to mango tree geometry.</t>
  </si>
  <si>
    <t>End caps / flush valves for laterals – install/replace</t>
  </si>
  <si>
    <t>One per lateral.</t>
  </si>
  <si>
    <t>Saddle take-off 63 × 16 mm with grommet – install</t>
  </si>
  <si>
    <t>Pressure test after tapping.</t>
  </si>
  <si>
    <t>Flush manifold for submain ends – fabricate &amp; install</t>
  </si>
  <si>
    <t>Includes valve, tee, end discharge.</t>
  </si>
  <si>
    <t>Flow meter (electromagnetic/turbine) – supply &amp; install</t>
  </si>
  <si>
    <t>Sized to design flow; straight lengths ensured.</t>
  </si>
  <si>
    <t>Hydrostatic testing of mains &amp; submains (1.5 × operating pressure)</t>
  </si>
  <si>
    <t>test</t>
  </si>
  <si>
    <t>Record pressure drop vs. time.</t>
  </si>
  <si>
    <t>Commissioning &amp; balancing of zones</t>
  </si>
  <si>
    <t>Adjust PRVs; verify uniformity (CU/DU).</t>
  </si>
  <si>
    <t>Training for farm staff (O&amp;M)</t>
  </si>
  <si>
    <t>session</t>
  </si>
  <si>
    <t>Operation, flushing, fertigation, troubleshooting.</t>
  </si>
  <si>
    <t>As-built drawings &amp; snag list closure</t>
  </si>
  <si>
    <t>PDF + editable CAD/Excel files.</t>
  </si>
  <si>
    <t>Assumption</t>
  </si>
  <si>
    <t>Operating pressure at lateral: 1.0–1.5 bar for 4 l/h drippers</t>
  </si>
  <si>
    <t>Mainline design velocity ≤ 1.5 m/s; submains ≤ 1.2 m/s</t>
  </si>
  <si>
    <t>Excavation in soft soil; no rock breaking included</t>
  </si>
  <si>
    <t>Quantities are placeholders; to be validated on site</t>
  </si>
  <si>
    <t>All rates exclude VAT and include labor, tools, and consumables</t>
  </si>
  <si>
    <t>Testing includes 2-hour pressure hold per section</t>
  </si>
  <si>
    <t>Fertigation calibration using known volume test</t>
  </si>
  <si>
    <t>Check</t>
  </si>
  <si>
    <t>Clean filters; record differential pressure before/after</t>
  </si>
  <si>
    <t>Flush submains and laterals until water runs clear</t>
  </si>
  <si>
    <t>Replace damaged laterals and drippers as marked</t>
  </si>
  <si>
    <t>Verify PRV settings per zone</t>
  </si>
  <si>
    <t>Test air release valves at high points</t>
  </si>
  <si>
    <t>Log zone flows and pressures; compare to baseline</t>
  </si>
  <si>
    <t>Close snag list and archive photos/GPS points</t>
  </si>
  <si>
    <t>Replace screen filter</t>
  </si>
  <si>
    <t>ton</t>
  </si>
  <si>
    <t>Fertigation unit supply (/pump, non-return valves)</t>
  </si>
  <si>
    <t>PVC mainline PN10 Ø160 mm supply &amp; install</t>
  </si>
  <si>
    <t>PVC mainline PN10 Ø110 mm supply &amp; install</t>
  </si>
  <si>
    <t>gasket push; include fittings &amp; testing.</t>
  </si>
  <si>
    <t xml:space="preserve">Netafem dripper 4 l/h, </t>
  </si>
  <si>
    <t>قراءات الضغط عند المضخة والمرشحات والخط الرئيسي والفروع والخطوط الجانبية.</t>
  </si>
  <si>
    <t>فحص بصري لكل هكتار؛ تحديد الأعطال على نظام المعلومات الجغرافية/المخطط.</t>
  </si>
  <si>
    <t>شد الوصلات، والتحقق من الاهتزاز والمحاذاة.</t>
  </si>
  <si>
    <t>استبدال مرشح الشاشة</t>
  </si>
  <si>
    <t>إضافة وسائط السيليكا حسب الحاجة؛ معايرة دورات الغسيل العكسي.</t>
  </si>
  <si>
    <t>مملوء بالغلسرين، اتصال 1/4 بوصة.</t>
  </si>
  <si>
    <t>فتح أغطية النهايات؛ الغسل حتى صفاء الماء.</t>
  </si>
  <si>
    <t>معايرة معدل الحقن؛ اختبار التسرب.</t>
  </si>
  <si>
    <t>ضبط ضغط المنطقة حسب متطلبات المحصول.</t>
  </si>
  <si>
    <t>التثبيت في النقاط العالية؛ اختبار التشغيل.</t>
  </si>
  <si>
    <t>دفع الجوان؛ يشمل التوصيلات والاختبار.</t>
  </si>
  <si>
    <t>العرض لكل قطر أنبوب خارجي + 20 سم.</t>
  </si>
  <si>
    <t>مقاوم للأشعة فوق البنفسجية؛ لضمان الاستقامة.</t>
  </si>
  <si>
    <t>مطابقة التباعد مع توزيع أشجار المانجو.</t>
  </si>
  <si>
    <t>واحدة لكل جانب.</t>
  </si>
  <si>
    <t>اختبار الضغط بعد التثقيب.</t>
  </si>
  <si>
    <t>يشمل صمام، وصلة ثلاثية، وصرف طرفي.</t>
  </si>
  <si>
    <t>مطابق لتدفق التصميم؛ لضمان الاستقامة.</t>
  </si>
  <si>
    <t>تسجيل هبوط الضغط مقارنة بالزمن.</t>
  </si>
  <si>
    <t>ضبط منظمات الضغط؛ التحقق من الانتظام (CU/DU).</t>
  </si>
  <si>
    <t>التشغيل، الغسل، التسميد، استكشاف الأخطاء.</t>
  </si>
  <si>
    <t>ملفات PDF + CAD/Excel قابلة للتعديل.</t>
  </si>
  <si>
    <t>التشخيص الهيدروليكي ورسم خرائط الضغط/التدفق</t>
  </si>
  <si>
    <t>كشف التسرب وجولة في الشبكة</t>
  </si>
  <si>
    <t>فحص مجموعة المضخة (الجوانات، المحامل، صمام القدم)</t>
  </si>
  <si>
    <t>الغسل/تنظيف مرشح القرص أو الشاشة (50-130 ميكرون)</t>
  </si>
  <si>
    <t>الغسيل العكسي لمرشح الوسائط وإضافة الوسائط</t>
  </si>
  <si>
    <t>استبدال عدادات الضغط التفاضلي (0-6 بار)</t>
  </si>
  <si>
    <t>غسل الخط الرئيسي والفروع</t>
  </si>
  <si>
    <t>تزويد وحدة التسميد (مضخة، صمامات عدم الرجوع)</t>
  </si>
  <si>
    <t>صيانة/استبدال صمام تقليل الضغط (PRV)</t>
  </si>
  <si>
    <t>صيانة/استبدال صمام تحرير الهواء/الفراغ</t>
  </si>
  <si>
    <t>توريد وتركيب خط رئيسي PVC PN10 قطر 160 مم</t>
  </si>
  <si>
    <t>توريد وتركيب خط رئيسي PVC PN10 قطر 110 مم</t>
  </si>
  <si>
    <t>حفر في تربة ناعمة للخنادق (≤1.0 متر عمق)</t>
  </si>
  <si>
    <t>توريد وتركيب خطوط جانبية بولي إيثيلين قطر 16 مم (سُمك 1.2–1.6 مم)</t>
  </si>
  <si>
    <t>قطارة نتافيم 4 لتر/ساعة</t>
  </si>
  <si>
    <t>تركيب/استبدال أغطية النهايات/صمامات الغسل للخطوط الجانبية</t>
  </si>
  <si>
    <t>تركيب وصلة سرج 63 × 16 مم مع جلبة مطاطية</t>
  </si>
  <si>
    <t>تصنيع وتركيب مشعب غسيل لنهايات الفروع</t>
  </si>
  <si>
    <t>اختبار هيدروستاتيكي للخطوط الرئيسية والفروع (1.5 × ضغط التشغيل)</t>
  </si>
  <si>
    <t>تشغيل وتوازن المناطق</t>
  </si>
  <si>
    <t>تدريب طاقم المزرعة (تشغيل وصيانة)</t>
  </si>
  <si>
    <t>مخططات المنفذ وقوائم الملاحظات النهائية</t>
  </si>
  <si>
    <t>توريد وتركيب عداد تدفق (/توربيني)</t>
  </si>
  <si>
    <t>البند</t>
  </si>
  <si>
    <t>الوصف الفني</t>
  </si>
  <si>
    <t>الوحدة</t>
  </si>
  <si>
    <t>زيارة</t>
  </si>
  <si>
    <t>مجموعة</t>
  </si>
  <si>
    <t>طن</t>
  </si>
  <si>
    <t>قطعة</t>
  </si>
  <si>
    <t>ساعة</t>
  </si>
  <si>
    <t>متر</t>
  </si>
  <si>
    <t>اختبار</t>
  </si>
  <si>
    <t>جلسة</t>
  </si>
  <si>
    <t>01286619966</t>
  </si>
  <si>
    <t>4443059C7Q1N5</t>
  </si>
  <si>
    <t>مقطوعية</t>
  </si>
  <si>
    <t>مبطوعية</t>
  </si>
  <si>
    <t>مستعجل</t>
  </si>
  <si>
    <t>#</t>
  </si>
  <si>
    <t>م</t>
  </si>
  <si>
    <t>أ</t>
  </si>
  <si>
    <t>منظومة الفلترة والتسميد</t>
  </si>
  <si>
    <t>مانومتر (عداد ضغط)</t>
  </si>
  <si>
    <t>ب</t>
  </si>
  <si>
    <t>المواسير والوصلات الرئيسية</t>
  </si>
  <si>
    <t>ج</t>
  </si>
  <si>
    <t>الخراطيم والفرعيات</t>
  </si>
  <si>
    <t>د</t>
  </si>
  <si>
    <t>المحابس والتحكم</t>
  </si>
  <si>
    <t xml:space="preserve">الوحدة </t>
  </si>
  <si>
    <t xml:space="preserve">الكمية </t>
  </si>
  <si>
    <t>سعر الوحدة</t>
  </si>
  <si>
    <t>تي 110/90</t>
  </si>
  <si>
    <t>مسلوب 160/110</t>
  </si>
  <si>
    <t>الصنف</t>
  </si>
  <si>
    <t>رمل (Sand Filters)</t>
  </si>
  <si>
    <t>عداد مياه توربيني 6 بوصة</t>
  </si>
  <si>
    <t>وصلة 16 Azud</t>
  </si>
  <si>
    <t>بداية 16 Azud</t>
  </si>
  <si>
    <t>لفة</t>
  </si>
  <si>
    <t>المنشأ</t>
  </si>
  <si>
    <t>محلي</t>
  </si>
  <si>
    <t>هندي/أروبي</t>
  </si>
  <si>
    <t>أوروبي/محلي</t>
  </si>
  <si>
    <t>محلي معتمد</t>
  </si>
  <si>
    <t>أسباني</t>
  </si>
  <si>
    <t>هندي</t>
  </si>
  <si>
    <t>الكمية</t>
  </si>
  <si>
    <t>الإجمالي</t>
  </si>
  <si>
    <t>رمل فلاتر (سيليكا)</t>
  </si>
  <si>
    <t>فلتر ديسك 4 بوصة Arkal</t>
  </si>
  <si>
    <t>محرك 1 حصان H=80m إيطالي</t>
  </si>
  <si>
    <t>مواسير UPVC 160 مم – 10 بار</t>
  </si>
  <si>
    <t>مواسير UPVC 110 مم – 10 بار</t>
  </si>
  <si>
    <t>كوع 160 مم</t>
  </si>
  <si>
    <t>لصق 917 أمريكي (½ كجم)</t>
  </si>
  <si>
    <t>خرطوم 16 مم سادة (نضارة)</t>
  </si>
  <si>
    <t>نقاطات 8 ل/س Netafim</t>
  </si>
  <si>
    <t>محبس تقليل ضغط 2 بوصة</t>
  </si>
  <si>
    <t>صمام هواء 2 بوصة</t>
  </si>
  <si>
    <t>مقايسة عامة لمستلزمات تطوير وتحديت شبكة الري</t>
  </si>
  <si>
    <t>أهمية حساب وضبط شبكة الري وتأثيرها على الطاقة والإنتاجية</t>
  </si>
  <si>
    <r>
      <t xml:space="preserve">عند تصميم شبكة الري بطريقة هندسية صحيحة (اختيار أقطار المواسير المناسبة، تقليل الفواقد الهيدروليكية، توزيع ضغط متوازن، وتشغيل الشبكة على أقل ضغط يحقق الأداء المطلوب)، يتحقق تأثير مباشر في نقطتين أساسيتين: </t>
    </r>
    <r>
      <rPr>
        <b/>
        <sz val="11"/>
        <color theme="1"/>
        <rFont val="Arial"/>
        <family val="2"/>
        <scheme val="minor"/>
      </rPr>
      <t>خفض استهلاك الطاقة</t>
    </r>
    <r>
      <rPr>
        <sz val="11"/>
        <color theme="1"/>
        <rFont val="Arial"/>
        <family val="2"/>
        <scheme val="minor"/>
      </rPr>
      <t xml:space="preserve"> و </t>
    </r>
    <r>
      <rPr>
        <b/>
        <sz val="11"/>
        <color theme="1"/>
        <rFont val="Arial"/>
        <family val="2"/>
        <scheme val="minor"/>
      </rPr>
      <t>تحسين إنتاجية الأشجار</t>
    </r>
    <r>
      <rPr>
        <sz val="11"/>
        <color theme="1"/>
        <rFont val="Arial"/>
        <family val="2"/>
        <scheme val="minor"/>
      </rPr>
      <t>.</t>
    </r>
  </si>
  <si>
    <t>أولًا: التوفير في الطاقة</t>
  </si>
  <si>
    <t>استهلاك الطاقة في أنظمة الري يعتمد أساسًا على الضغط (الرفع) المطلوب من الطلمبة. أي ضغط زائد عن الحاجة ينتج عنه استهلاك كهرباء أو ديزل غير مبرر. عند ضبط الشبكة وتقليل الفواقد داخل المواسير، يمكن خفض ضغط التشغيل الكلي للطلمبة، مما يؤدي إلى:</t>
  </si>
  <si>
    <r>
      <t xml:space="preserve">توفير في استهلاك الطاقة يتراوح عادة بين </t>
    </r>
    <r>
      <rPr>
        <b/>
        <sz val="11"/>
        <color theme="1"/>
        <rFont val="Arial"/>
        <family val="2"/>
        <scheme val="minor"/>
      </rPr>
      <t>10% إلى 30%</t>
    </r>
    <r>
      <rPr>
        <sz val="11"/>
        <color theme="1"/>
        <rFont val="Arial"/>
        <family val="2"/>
        <scheme val="minor"/>
      </rPr>
      <t xml:space="preserve"> في الشبكات التي كانت تعاني من أقطار غير مناسبة أو ضغط زائد.</t>
    </r>
  </si>
  <si>
    <r>
      <t xml:space="preserve">في الحالات التي يكون فيها التشغيل على ضغط عالٍ بدون داعٍ، قد يصل التوفير إلى </t>
    </r>
    <r>
      <rPr>
        <b/>
        <sz val="11"/>
        <color theme="1"/>
        <rFont val="Arial"/>
        <family val="2"/>
        <scheme val="minor"/>
      </rPr>
      <t>40–50%</t>
    </r>
    <r>
      <rPr>
        <sz val="11"/>
        <color theme="1"/>
        <rFont val="Arial"/>
        <family val="2"/>
        <scheme val="minor"/>
      </rPr>
      <t>.</t>
    </r>
  </si>
  <si>
    <t>هذا التوفير مستمر طوال عمر الشبكة، وليس توفيرًا لمرة واحدة.</t>
  </si>
  <si>
    <t>ثانيًا: تعظيم إنتاجية الأشجار</t>
  </si>
  <si>
    <t>الشبكة المحسوبة جيدًا تضمن تجانس توزيع المياه والتسميد بين جميع الأشجار، مما يؤدي إلى:</t>
  </si>
  <si>
    <t>تقليل إجهاد الأشجار الناتج عن نقص أو زيادة المياه.</t>
  </si>
  <si>
    <t>نمو متقارب للأشجار داخل نفس القطاع.</t>
  </si>
  <si>
    <t>تحسين كفاءة امتصاص السماد مع مياه الري.</t>
  </si>
  <si>
    <t>في المزارع التي كانت تعاني من عدم تجانس واضح في الري، يؤدي ضبط الشبكة غالبًا إلى:</t>
  </si>
  <si>
    <r>
      <t xml:space="preserve">تحسن في الإنتاجية وجودة الثمار بنسبة تقريبية </t>
    </r>
    <r>
      <rPr>
        <b/>
        <sz val="11"/>
        <color theme="1"/>
        <rFont val="Arial"/>
        <family val="2"/>
        <scheme val="minor"/>
      </rPr>
      <t>5% إلى 15%</t>
    </r>
    <r>
      <rPr>
        <sz val="11"/>
        <color theme="1"/>
        <rFont val="Arial"/>
        <family val="2"/>
        <scheme val="minor"/>
      </rPr>
      <t xml:space="preserve"> حسب نوع المحصول وطبيعة التربة.</t>
    </r>
  </si>
  <si>
    <t>انخفاض نسبة الأشجار الضعيفة أو غير المنتجة.</t>
  </si>
  <si>
    <t>الخلاصة</t>
  </si>
  <si>
    <t>شبكة الري المحسوبة هندسيًا لا تقلل التكلفة التشغيلية فقط، بل ترفع كفاءة استخدام المياه والطاقة، وتنعكس مباشرة على استقرار الإنتاج وزيادة العائد الاقتصادي للمزرعة على المدى الطويل.</t>
  </si>
  <si>
    <t>بيان بالمهمات ومستلزمات صيانة وتطوير شبكات الري بشكل مبداي حتى بدأ العمل والكشف عن جميع الخطوط فعليا نظرا لعدم وجود خريطة للشبكة الموجودة فعليا وقد يحتاج العمل لبعض الأعمال المدنية من غرف محابس وقواعد خرسانية لأنظمة التسميد والفلاتر</t>
  </si>
  <si>
    <t xml:space="preserve">التركيبات </t>
  </si>
  <si>
    <t>بيان مبدئي بالخامات المطلوبة</t>
  </si>
  <si>
    <t>مواسير حديد لتصنيع مانيفولد محطة الفلترة</t>
  </si>
  <si>
    <t xml:space="preserve">نقاطات ووصلات الخراطيم </t>
  </si>
  <si>
    <t>Pedrollo JSW2C 1HP Auto Prep Water Motor 3V عدد 2</t>
  </si>
  <si>
    <t>مشتملات ومهمات الشبكة والخراطيم</t>
  </si>
  <si>
    <t>AMAZON</t>
  </si>
  <si>
    <t>شركة الفتح</t>
  </si>
  <si>
    <t>أحمد الشناوي</t>
  </si>
  <si>
    <t xml:space="preserve"> TECHNO GREEN</t>
  </si>
  <si>
    <t>https://www.amazon.eg/-/en/Pedrollo-JSW2C-Auto-Water-Motor/dp/B09SPTV91Q/ref=pd_sbs_d_sccl_1_9/261-2125245-4138416?pd_rd_w=kik6I&amp;content-id=amzn1.sym.9dae1e62-b512-48cd-85fa-47787caab40c&amp;pf_rd_p=9dae1e62-b512-48cd-85fa-47787caab40c&amp;pf_rd_r=9ZNEN5NR1674TGRREYAS&amp;pd_rd_wg=gGtPk&amp;pd_rd_r=232811da-545d-4449-a912-c21f8732e1c4&amp;pd_rd_i=B09SPTV91Q&amp;psc=1</t>
  </si>
  <si>
    <t>CIAHM@INSTAPAY</t>
  </si>
  <si>
    <t>CIB:100055942948  أحمد محمد محمد الشناوي</t>
  </si>
  <si>
    <t>بأنتظار العرض النهائي</t>
  </si>
  <si>
    <t>اسباني</t>
  </si>
  <si>
    <t>محابس غسيل 3-Way 3"×2"×3" نايلون مقوى ِAZUD</t>
  </si>
  <si>
    <t>محابس عدم رجوع3" نوع بوابة (Swing) - ستانلس</t>
  </si>
  <si>
    <t>محبس فراشة 3" كومر</t>
  </si>
  <si>
    <t>خرطوم 16 مم 5 سنوات كومر</t>
  </si>
  <si>
    <t>نقاطات  8ل/س NODNL08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</si>
</sst>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0\ &quot;ج.م.‏&quot;_-;\-* #,##0\ &quot;ج.م.‏&quot;_-;_-* &quot;-&quot;??\ &quot;ج.م.‏&quot;_-;_-@_-"/>
    <numFmt numFmtId="165" formatCode="_ [$¥-804]* #,##0.00_ ;_ [$¥-804]* \-#,##0.00_ ;_ [$¥-804]* &quot;-&quot;??_ ;_ @_ "/>
    <numFmt numFmtId="166" formatCode="_ [$₹-44D]\ * #,##0.00_ ;_ [$₹-44D]\ * \-#,##0.00_ ;_ [$₹-44D]\ * &quot;-&quot;??_ ;_ @_ "/>
  </numFmts>
  <fonts count="14" x14ac:knownFonts="1">
    <font>
      <sz val="11"/>
      <color theme="1"/>
      <name val="Arial"/>
      <family val="2"/>
      <scheme val="minor"/>
    </font>
    <font>
      <b/>
      <sz val="11"/>
      <name val="Arial"/>
      <family val="2"/>
    </font>
    <font>
      <b/>
      <sz val="11"/>
      <color theme="1"/>
      <name val="Arial"/>
      <family val="2"/>
      <scheme val="minor"/>
    </font>
    <font>
      <b/>
      <sz val="11"/>
      <color rgb="FFFF0000"/>
      <name val="Arial"/>
      <family val="2"/>
      <scheme val="minor"/>
    </font>
    <font>
      <b/>
      <sz val="11"/>
      <color theme="0"/>
      <name val="Arial"/>
      <family val="2"/>
      <scheme val="minor"/>
    </font>
    <font>
      <sz val="11"/>
      <color rgb="FF137200"/>
      <name val="Arial"/>
      <family val="2"/>
      <scheme val="minor"/>
    </font>
    <font>
      <sz val="11"/>
      <color theme="1"/>
      <name val="Arial"/>
      <family val="2"/>
      <scheme val="minor"/>
    </font>
    <font>
      <sz val="11"/>
      <color theme="0"/>
      <name val="Arial"/>
      <family val="2"/>
      <scheme val="minor"/>
    </font>
    <font>
      <sz val="11"/>
      <color rgb="FF000000"/>
      <name val="Aptos Narrow"/>
      <family val="2"/>
    </font>
    <font>
      <b/>
      <sz val="14"/>
      <color theme="1"/>
      <name val="Arial"/>
      <family val="2"/>
      <scheme val="minor"/>
    </font>
    <font>
      <b/>
      <sz val="11"/>
      <color theme="6" tint="-0.249977111117893"/>
      <name val="Arial"/>
      <family val="2"/>
      <scheme val="minor"/>
    </font>
    <font>
      <u/>
      <sz val="11"/>
      <color theme="10"/>
      <name val="Arial"/>
      <family val="2"/>
      <scheme val="minor"/>
    </font>
    <font>
      <sz val="10"/>
      <color theme="1"/>
      <name val="Arial"/>
      <family val="2"/>
      <scheme val="minor"/>
    </font>
    <font>
      <sz val="8"/>
      <name val="Arial"/>
      <family val="2"/>
      <scheme val="minor"/>
    </font>
  </fonts>
  <fills count="14">
    <fill>
      <patternFill patternType="none"/>
    </fill>
    <fill>
      <patternFill patternType="gray125"/>
    </fill>
    <fill>
      <patternFill patternType="solid">
        <fgColor rgb="FFFFFF00"/>
        <bgColor indexed="64"/>
      </patternFill>
    </fill>
    <fill>
      <patternFill patternType="solid">
        <fgColor theme="2" tint="-0.74999237037263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4"/>
      </patternFill>
    </fill>
    <fill>
      <patternFill patternType="solid">
        <fgColor theme="6"/>
      </patternFill>
    </fill>
    <fill>
      <patternFill patternType="solid">
        <fgColor theme="6" tint="0.79998168889431442"/>
        <bgColor indexed="65"/>
      </patternFill>
    </fill>
    <fill>
      <patternFill patternType="solid">
        <fgColor theme="2"/>
        <bgColor indexed="64"/>
      </patternFill>
    </fill>
    <fill>
      <patternFill patternType="solid">
        <fgColor theme="2" tint="-9.9978637043366805E-2"/>
        <bgColor indexed="64"/>
      </patternFill>
    </fill>
    <fill>
      <patternFill patternType="solid">
        <fgColor theme="7" tint="0.79998168889431442"/>
        <bgColor indexed="64"/>
      </patternFill>
    </fill>
  </fills>
  <borders count="55">
    <border>
      <left/>
      <right/>
      <top/>
      <bottom/>
      <diagonal/>
    </border>
    <border>
      <left style="thin">
        <color auto="1"/>
      </left>
      <right style="thin">
        <color auto="1"/>
      </right>
      <top style="thin">
        <color auto="1"/>
      </top>
      <bottom style="thin">
        <color auto="1"/>
      </bottom>
      <diagonal/>
    </border>
    <border>
      <left style="medium">
        <color theme="5"/>
      </left>
      <right style="medium">
        <color theme="5"/>
      </right>
      <top style="medium">
        <color theme="5"/>
      </top>
      <bottom style="medium">
        <color theme="5"/>
      </bottom>
      <diagonal/>
    </border>
    <border>
      <left style="medium">
        <color indexed="64"/>
      </left>
      <right/>
      <top style="medium">
        <color indexed="64"/>
      </top>
      <bottom style="medium">
        <color indexed="64"/>
      </bottom>
      <diagonal/>
    </border>
    <border>
      <left style="medium">
        <color theme="5"/>
      </left>
      <right/>
      <top style="medium">
        <color theme="5"/>
      </top>
      <bottom style="medium">
        <color theme="5"/>
      </bottom>
      <diagonal/>
    </border>
    <border>
      <left/>
      <right style="medium">
        <color theme="5"/>
      </right>
      <top style="medium">
        <color theme="5"/>
      </top>
      <bottom style="medium">
        <color theme="5"/>
      </bottom>
      <diagonal/>
    </border>
    <border>
      <left/>
      <right style="thin">
        <color auto="1"/>
      </right>
      <top style="thin">
        <color auto="1"/>
      </top>
      <bottom style="thin">
        <color auto="1"/>
      </bottom>
      <diagonal/>
    </border>
    <border>
      <left style="thick">
        <color theme="8" tint="-0.499984740745262"/>
      </left>
      <right style="thin">
        <color theme="8" tint="-0.499984740745262"/>
      </right>
      <top style="thin">
        <color theme="8" tint="-0.499984740745262"/>
      </top>
      <bottom style="thin">
        <color theme="8" tint="-0.499984740745262"/>
      </bottom>
      <diagonal/>
    </border>
    <border>
      <left style="thin">
        <color theme="8" tint="-0.499984740745262"/>
      </left>
      <right style="thin">
        <color theme="8" tint="-0.499984740745262"/>
      </right>
      <top style="thin">
        <color theme="8" tint="-0.499984740745262"/>
      </top>
      <bottom style="thin">
        <color theme="8" tint="-0.499984740745262"/>
      </bottom>
      <diagonal/>
    </border>
    <border>
      <left style="thin">
        <color theme="8" tint="-0.499984740745262"/>
      </left>
      <right style="thick">
        <color theme="8" tint="-0.499984740745262"/>
      </right>
      <top style="thin">
        <color theme="8" tint="-0.499984740745262"/>
      </top>
      <bottom style="thin">
        <color theme="8" tint="-0.499984740745262"/>
      </bottom>
      <diagonal/>
    </border>
    <border>
      <left style="thick">
        <color theme="8" tint="-0.499984740745262"/>
      </left>
      <right style="thin">
        <color theme="8" tint="-0.499984740745262"/>
      </right>
      <top style="thin">
        <color theme="8" tint="-0.499984740745262"/>
      </top>
      <bottom style="thick">
        <color theme="8" tint="-0.499984740745262"/>
      </bottom>
      <diagonal/>
    </border>
    <border>
      <left style="thin">
        <color theme="8" tint="-0.499984740745262"/>
      </left>
      <right style="thin">
        <color theme="8" tint="-0.499984740745262"/>
      </right>
      <top style="thin">
        <color theme="8" tint="-0.499984740745262"/>
      </top>
      <bottom style="thick">
        <color theme="8" tint="-0.499984740745262"/>
      </bottom>
      <diagonal/>
    </border>
    <border>
      <left style="thin">
        <color theme="8" tint="-0.499984740745262"/>
      </left>
      <right style="thick">
        <color theme="8" tint="-0.499984740745262"/>
      </right>
      <top style="thin">
        <color theme="8" tint="-0.499984740745262"/>
      </top>
      <bottom style="thick">
        <color theme="8" tint="-0.499984740745262"/>
      </bottom>
      <diagonal/>
    </border>
    <border>
      <left style="thick">
        <color theme="8" tint="-0.499984740745262"/>
      </left>
      <right/>
      <top style="thick">
        <color theme="8" tint="-0.499984740745262"/>
      </top>
      <bottom style="thick">
        <color theme="8" tint="-0.499984740745262"/>
      </bottom>
      <diagonal/>
    </border>
    <border>
      <left/>
      <right/>
      <top style="thick">
        <color theme="8" tint="-0.499984740745262"/>
      </top>
      <bottom style="thick">
        <color theme="8" tint="-0.499984740745262"/>
      </bottom>
      <diagonal/>
    </border>
    <border>
      <left/>
      <right style="thick">
        <color theme="8" tint="-0.499984740745262"/>
      </right>
      <top style="thick">
        <color theme="8" tint="-0.499984740745262"/>
      </top>
      <bottom style="thick">
        <color theme="8" tint="-0.499984740745262"/>
      </bottom>
      <diagonal/>
    </border>
    <border>
      <left style="thick">
        <color theme="8" tint="-0.499984740745262"/>
      </left>
      <right style="thin">
        <color theme="8" tint="-0.499984740745262"/>
      </right>
      <top/>
      <bottom style="thin">
        <color theme="8" tint="-0.499984740745262"/>
      </bottom>
      <diagonal/>
    </border>
    <border>
      <left style="thin">
        <color theme="8" tint="-0.499984740745262"/>
      </left>
      <right style="thin">
        <color theme="8" tint="-0.499984740745262"/>
      </right>
      <top/>
      <bottom style="thin">
        <color theme="8" tint="-0.499984740745262"/>
      </bottom>
      <diagonal/>
    </border>
    <border>
      <left style="thin">
        <color theme="8" tint="-0.499984740745262"/>
      </left>
      <right style="thick">
        <color theme="8" tint="-0.499984740745262"/>
      </right>
      <top/>
      <bottom style="thin">
        <color theme="8" tint="-0.499984740745262"/>
      </bottom>
      <diagonal/>
    </border>
    <border>
      <left style="thick">
        <color theme="8" tint="-0.499984740745262"/>
      </left>
      <right style="thin">
        <color theme="8" tint="-0.499984740745262"/>
      </right>
      <top style="thick">
        <color theme="8" tint="-0.499984740745262"/>
      </top>
      <bottom style="double">
        <color theme="8" tint="-0.499984740745262"/>
      </bottom>
      <diagonal/>
    </border>
    <border>
      <left style="thin">
        <color theme="8" tint="-0.499984740745262"/>
      </left>
      <right style="thin">
        <color theme="8" tint="-0.499984740745262"/>
      </right>
      <top style="thick">
        <color theme="8" tint="-0.499984740745262"/>
      </top>
      <bottom style="double">
        <color theme="8" tint="-0.499984740745262"/>
      </bottom>
      <diagonal/>
    </border>
    <border>
      <left style="thin">
        <color theme="8" tint="-0.499984740745262"/>
      </left>
      <right style="thick">
        <color theme="8" tint="-0.499984740745262"/>
      </right>
      <top style="thick">
        <color theme="8" tint="-0.499984740745262"/>
      </top>
      <bottom style="double">
        <color theme="8" tint="-0.499984740745262"/>
      </bottom>
      <diagonal/>
    </border>
    <border>
      <left style="thin">
        <color theme="8" tint="-0.499984740745262"/>
      </left>
      <right/>
      <top style="thick">
        <color theme="8" tint="-0.499984740745262"/>
      </top>
      <bottom style="double">
        <color theme="8" tint="-0.499984740745262"/>
      </bottom>
      <diagonal/>
    </border>
    <border>
      <left style="thin">
        <color theme="8" tint="-0.499984740745262"/>
      </left>
      <right/>
      <top/>
      <bottom style="thin">
        <color theme="8" tint="-0.499984740745262"/>
      </bottom>
      <diagonal/>
    </border>
    <border>
      <left/>
      <right style="thin">
        <color indexed="64"/>
      </right>
      <top style="thick">
        <color theme="8" tint="-0.499984740745262"/>
      </top>
      <bottom style="thick">
        <color theme="8" tint="-0.499984740745262"/>
      </bottom>
      <diagonal/>
    </border>
    <border>
      <left style="thin">
        <color theme="8" tint="-0.499984740745262"/>
      </left>
      <right style="thin">
        <color indexed="64"/>
      </right>
      <top style="thick">
        <color theme="8" tint="-0.499984740745262"/>
      </top>
      <bottom style="double">
        <color theme="8" tint="-0.499984740745262"/>
      </bottom>
      <diagonal/>
    </border>
    <border>
      <left style="thin">
        <color theme="8" tint="-0.499984740745262"/>
      </left>
      <right style="thin">
        <color indexed="64"/>
      </right>
      <top/>
      <bottom style="thin">
        <color theme="8" tint="-0.499984740745262"/>
      </bottom>
      <diagonal/>
    </border>
    <border>
      <left style="thin">
        <color theme="8" tint="-0.499984740745262"/>
      </left>
      <right style="thin">
        <color indexed="64"/>
      </right>
      <top style="thin">
        <color theme="8" tint="-0.499984740745262"/>
      </top>
      <bottom style="thin">
        <color theme="8" tint="-0.499984740745262"/>
      </bottom>
      <diagonal/>
    </border>
    <border>
      <left style="thin">
        <color theme="8" tint="-0.499984740745262"/>
      </left>
      <right style="thin">
        <color indexed="64"/>
      </right>
      <top style="thin">
        <color theme="8" tint="-0.499984740745262"/>
      </top>
      <bottom style="thick">
        <color theme="8" tint="-0.499984740745262"/>
      </bottom>
      <diagonal/>
    </border>
    <border>
      <left style="thick">
        <color theme="8" tint="-0.499984740745262"/>
      </left>
      <right style="thick">
        <color theme="8" tint="-0.499984740745262"/>
      </right>
      <top/>
      <bottom/>
      <diagonal/>
    </border>
    <border>
      <left style="thick">
        <color theme="8" tint="-0.499984740745262"/>
      </left>
      <right style="thick">
        <color theme="8" tint="-0.499984740745262"/>
      </right>
      <top/>
      <bottom style="thick">
        <color theme="8" tint="-0.499984740745262"/>
      </bottom>
      <diagonal/>
    </border>
    <border>
      <left style="thick">
        <color theme="8" tint="-0.499984740745262"/>
      </left>
      <right style="thick">
        <color theme="8" tint="-0.499984740745262"/>
      </right>
      <top style="thick">
        <color theme="8" tint="-0.499984740745262"/>
      </top>
      <bottom style="double">
        <color indexed="64"/>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double">
        <color indexed="64"/>
      </top>
      <bottom style="medium">
        <color indexed="64"/>
      </bottom>
      <diagonal/>
    </border>
    <border>
      <left/>
      <right/>
      <top style="medium">
        <color indexed="64"/>
      </top>
      <bottom style="double">
        <color indexed="64"/>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rgb="FFCCCCCC"/>
      </left>
      <right style="medium">
        <color rgb="FFCCCCCC"/>
      </right>
      <top style="medium">
        <color rgb="FFCCCCCC"/>
      </top>
      <bottom style="medium">
        <color rgb="FFCCCCCC"/>
      </bottom>
      <diagonal/>
    </border>
  </borders>
  <cellStyleXfs count="6">
    <xf numFmtId="0" fontId="0" fillId="0" borderId="0"/>
    <xf numFmtId="0" fontId="7" fillId="8" borderId="0" applyNumberFormat="0" applyBorder="0" applyAlignment="0" applyProtection="0"/>
    <xf numFmtId="0" fontId="7" fillId="9" borderId="0" applyNumberFormat="0" applyBorder="0" applyAlignment="0" applyProtection="0"/>
    <xf numFmtId="0" fontId="6" fillId="10" borderId="0" applyNumberFormat="0" applyBorder="0" applyAlignment="0" applyProtection="0"/>
    <xf numFmtId="9" fontId="6" fillId="0" borderId="0" applyFont="0" applyFill="0" applyBorder="0" applyAlignment="0" applyProtection="0"/>
    <xf numFmtId="0" fontId="11" fillId="0" borderId="0" applyNumberFormat="0" applyFill="0" applyBorder="0" applyAlignment="0" applyProtection="0"/>
  </cellStyleXfs>
  <cellXfs count="83">
    <xf numFmtId="0" fontId="0" fillId="0" borderId="0" xfId="0"/>
    <xf numFmtId="0" fontId="1" fillId="0" borderId="1" xfId="0" applyFont="1" applyBorder="1" applyAlignment="1">
      <alignment horizontal="center" vertical="top"/>
    </xf>
    <xf numFmtId="0" fontId="3" fillId="2" borderId="3" xfId="0" applyFont="1" applyFill="1" applyBorder="1"/>
    <xf numFmtId="0" fontId="4" fillId="3" borderId="2" xfId="0" quotePrefix="1" applyFont="1" applyFill="1" applyBorder="1"/>
    <xf numFmtId="0" fontId="1" fillId="0" borderId="6" xfId="0" applyFont="1" applyBorder="1" applyAlignment="1">
      <alignment horizontal="center" vertical="top"/>
    </xf>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2" fillId="0" borderId="15" xfId="0" applyFont="1" applyBorder="1"/>
    <xf numFmtId="0" fontId="0" fillId="5" borderId="13" xfId="0" applyFill="1" applyBorder="1"/>
    <xf numFmtId="0" fontId="0" fillId="5" borderId="14" xfId="0" applyFill="1" applyBorder="1"/>
    <xf numFmtId="0" fontId="0" fillId="0" borderId="16" xfId="0" applyBorder="1"/>
    <xf numFmtId="0" fontId="0" fillId="0" borderId="17" xfId="0" applyBorder="1"/>
    <xf numFmtId="0" fontId="0" fillId="0" borderId="18" xfId="0" applyBorder="1"/>
    <xf numFmtId="0" fontId="1" fillId="4" borderId="19" xfId="0" applyFont="1" applyFill="1" applyBorder="1" applyAlignment="1">
      <alignment horizontal="center"/>
    </xf>
    <xf numFmtId="0" fontId="1" fillId="4" borderId="20" xfId="0" applyFont="1" applyFill="1" applyBorder="1" applyAlignment="1">
      <alignment horizontal="center"/>
    </xf>
    <xf numFmtId="0" fontId="1" fillId="4" borderId="21" xfId="0" applyFont="1" applyFill="1" applyBorder="1" applyAlignment="1">
      <alignment horizontal="center"/>
    </xf>
    <xf numFmtId="0" fontId="1" fillId="4" borderId="22" xfId="0" applyFont="1" applyFill="1" applyBorder="1" applyAlignment="1">
      <alignment horizontal="center"/>
    </xf>
    <xf numFmtId="0" fontId="2" fillId="6" borderId="14" xfId="0" applyFont="1" applyFill="1" applyBorder="1"/>
    <xf numFmtId="0" fontId="5" fillId="6" borderId="23" xfId="0" applyFont="1" applyFill="1" applyBorder="1">
      <extLst>
        <ext xmlns:xfpb="http://schemas.microsoft.com/office/spreadsheetml/2022/featurepropertybag" uri="{C7286773-470A-42A8-94C5-96B5CB345126}">
          <xfpb:xfComplement i="0"/>
        </ext>
      </extLst>
    </xf>
    <xf numFmtId="0" fontId="1" fillId="4" borderId="25" xfId="0" applyFont="1" applyFill="1" applyBorder="1" applyAlignment="1">
      <alignment horizontal="center"/>
    </xf>
    <xf numFmtId="0" fontId="0" fillId="0" borderId="26" xfId="0" applyBorder="1"/>
    <xf numFmtId="0" fontId="0" fillId="0" borderId="27" xfId="0" applyBorder="1"/>
    <xf numFmtId="0" fontId="0" fillId="0" borderId="28" xfId="0" applyBorder="1"/>
    <xf numFmtId="0" fontId="0" fillId="5" borderId="24" xfId="0" applyFill="1" applyBorder="1"/>
    <xf numFmtId="0" fontId="0" fillId="7" borderId="29" xfId="0" applyFill="1" applyBorder="1" applyAlignment="1">
      <alignment horizontal="center"/>
    </xf>
    <xf numFmtId="0" fontId="0" fillId="7" borderId="30" xfId="0" applyFill="1" applyBorder="1"/>
    <xf numFmtId="0" fontId="0" fillId="7" borderId="31" xfId="0" applyFill="1" applyBorder="1"/>
    <xf numFmtId="0" fontId="0" fillId="0" borderId="0" xfId="0" applyAlignment="1">
      <alignment horizontal="center"/>
    </xf>
    <xf numFmtId="0" fontId="0" fillId="0" borderId="1" xfId="0" applyBorder="1" applyAlignment="1">
      <alignment horizontal="center"/>
    </xf>
    <xf numFmtId="0" fontId="0" fillId="0" borderId="1" xfId="0" applyBorder="1"/>
    <xf numFmtId="0" fontId="0" fillId="11" borderId="32" xfId="0" applyFill="1" applyBorder="1"/>
    <xf numFmtId="0" fontId="0" fillId="11" borderId="33" xfId="0" applyFill="1" applyBorder="1"/>
    <xf numFmtId="0" fontId="0" fillId="11" borderId="6" xfId="0" applyFill="1" applyBorder="1"/>
    <xf numFmtId="0" fontId="8" fillId="0" borderId="34" xfId="0" applyFont="1" applyBorder="1"/>
    <xf numFmtId="0" fontId="8" fillId="0" borderId="35" xfId="0" applyFont="1" applyBorder="1"/>
    <xf numFmtId="0" fontId="8" fillId="0" borderId="36" xfId="0" applyFont="1" applyBorder="1"/>
    <xf numFmtId="0" fontId="7" fillId="8" borderId="3" xfId="1" applyBorder="1"/>
    <xf numFmtId="0" fontId="7" fillId="8" borderId="37" xfId="1" applyBorder="1"/>
    <xf numFmtId="0" fontId="7" fillId="8" borderId="38" xfId="1" applyBorder="1"/>
    <xf numFmtId="0" fontId="8" fillId="11" borderId="39" xfId="0" applyFont="1" applyFill="1" applyBorder="1"/>
    <xf numFmtId="0" fontId="8" fillId="11" borderId="40" xfId="0" applyFont="1" applyFill="1" applyBorder="1"/>
    <xf numFmtId="0" fontId="8" fillId="11" borderId="41" xfId="0" applyFont="1" applyFill="1" applyBorder="1"/>
    <xf numFmtId="0" fontId="8" fillId="0" borderId="42" xfId="0" applyFont="1" applyBorder="1"/>
    <xf numFmtId="0" fontId="8" fillId="0" borderId="43" xfId="0" applyFont="1" applyBorder="1"/>
    <xf numFmtId="0" fontId="8" fillId="0" borderId="44" xfId="0" applyFont="1" applyBorder="1"/>
    <xf numFmtId="0" fontId="8" fillId="0" borderId="45" xfId="0" applyFont="1" applyBorder="1"/>
    <xf numFmtId="0" fontId="8" fillId="0" borderId="46" xfId="0" applyFont="1" applyBorder="1"/>
    <xf numFmtId="0" fontId="8" fillId="0" borderId="47" xfId="0" applyFont="1" applyBorder="1"/>
    <xf numFmtId="0" fontId="8" fillId="0" borderId="48" xfId="0" applyFont="1" applyBorder="1"/>
    <xf numFmtId="0" fontId="8" fillId="0" borderId="33" xfId="0" applyFont="1" applyBorder="1"/>
    <xf numFmtId="0" fontId="8" fillId="0" borderId="49" xfId="0" applyFont="1" applyBorder="1"/>
    <xf numFmtId="0" fontId="0" fillId="0" borderId="0" xfId="0" applyAlignment="1">
      <alignment horizontal="right" vertical="center"/>
    </xf>
    <xf numFmtId="0" fontId="0" fillId="0" borderId="35" xfId="0" applyBorder="1" applyAlignment="1">
      <alignment horizontal="right" vertical="center" wrapText="1"/>
    </xf>
    <xf numFmtId="0" fontId="7" fillId="9" borderId="50" xfId="2" applyBorder="1"/>
    <xf numFmtId="0" fontId="6" fillId="10" borderId="39" xfId="3" applyBorder="1"/>
    <xf numFmtId="0" fontId="6" fillId="10" borderId="40" xfId="3" applyBorder="1"/>
    <xf numFmtId="0" fontId="6" fillId="10" borderId="41" xfId="3" applyBorder="1"/>
    <xf numFmtId="0" fontId="0" fillId="0" borderId="35" xfId="0" applyBorder="1"/>
    <xf numFmtId="0" fontId="9" fillId="0" borderId="35" xfId="0" applyFont="1" applyBorder="1" applyAlignment="1">
      <alignment vertical="center"/>
    </xf>
    <xf numFmtId="14" fontId="10" fillId="0" borderId="35" xfId="0" applyNumberFormat="1" applyFont="1" applyBorder="1" applyAlignment="1">
      <alignment horizontal="center" vertical="center"/>
    </xf>
    <xf numFmtId="0" fontId="2" fillId="12" borderId="0" xfId="0" applyFont="1" applyFill="1"/>
    <xf numFmtId="0" fontId="0" fillId="12" borderId="0" xfId="0" applyFill="1" applyAlignment="1">
      <alignment wrapText="1"/>
    </xf>
    <xf numFmtId="0" fontId="2" fillId="13" borderId="0" xfId="0" applyFont="1" applyFill="1"/>
    <xf numFmtId="0" fontId="0" fillId="13" borderId="0" xfId="0" applyFill="1"/>
    <xf numFmtId="164" fontId="7" fillId="9" borderId="53" xfId="2" applyNumberFormat="1" applyBorder="1"/>
    <xf numFmtId="166" fontId="0" fillId="0" borderId="0" xfId="0" applyNumberFormat="1"/>
    <xf numFmtId="165" fontId="0" fillId="0" borderId="0" xfId="0" applyNumberFormat="1"/>
    <xf numFmtId="9" fontId="0" fillId="0" borderId="1" xfId="4" applyFont="1" applyBorder="1"/>
    <xf numFmtId="0" fontId="11" fillId="0" borderId="1" xfId="5" applyBorder="1"/>
    <xf numFmtId="0" fontId="0" fillId="0" borderId="1" xfId="0" applyBorder="1" applyAlignment="1">
      <alignment wrapText="1"/>
    </xf>
    <xf numFmtId="0" fontId="0" fillId="0" borderId="4" xfId="0" applyBorder="1" applyAlignment="1">
      <alignment horizontal="center"/>
    </xf>
    <xf numFmtId="0" fontId="0" fillId="0" borderId="5" xfId="0" applyBorder="1" applyAlignment="1">
      <alignment horizontal="center"/>
    </xf>
    <xf numFmtId="0" fontId="0" fillId="0" borderId="0" xfId="0" applyAlignment="1">
      <alignment horizontal="right" wrapText="1"/>
    </xf>
    <xf numFmtId="0" fontId="0" fillId="0" borderId="0" xfId="0" applyAlignment="1">
      <alignment horizontal="right" vertical="center" wrapText="1"/>
    </xf>
    <xf numFmtId="0" fontId="0" fillId="0" borderId="51" xfId="0" applyBorder="1" applyAlignment="1">
      <alignment horizontal="right" vertical="center" wrapText="1"/>
    </xf>
    <xf numFmtId="0" fontId="7" fillId="9" borderId="50" xfId="2" applyBorder="1" applyAlignment="1">
      <alignment horizontal="left" vertical="center"/>
    </xf>
    <xf numFmtId="0" fontId="7" fillId="9" borderId="52" xfId="2" applyBorder="1" applyAlignment="1">
      <alignment horizontal="left"/>
    </xf>
    <xf numFmtId="0" fontId="7" fillId="9" borderId="51" xfId="2" applyBorder="1" applyAlignment="1">
      <alignment horizontal="left"/>
    </xf>
    <xf numFmtId="0" fontId="12" fillId="0" borderId="54" xfId="0" applyFont="1" applyBorder="1" applyAlignment="1">
      <alignment horizontal="right" wrapText="1"/>
    </xf>
  </cellXfs>
  <cellStyles count="6">
    <cellStyle name="20% - Accent3" xfId="3" builtinId="38"/>
    <cellStyle name="Accent1" xfId="1" builtinId="29"/>
    <cellStyle name="Accent3" xfId="2" builtinId="37"/>
    <cellStyle name="Hyperlink" xfId="5" builtinId="8"/>
    <cellStyle name="Normal" xfId="0" builtinId="0"/>
    <cellStyle name="Percent" xfId="4" builtinId="5"/>
  </cellStyles>
  <dxfs count="0"/>
  <tableStyles count="1" defaultTableStyle="TableStyleMedium9" defaultPivotStyle="PivotStyleLight16">
    <tableStyle name="Invisible" pivot="0" table="0" count="0" xr9:uid="{84528F0B-F207-4238-A8F7-ED571FFA78E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06/relationships/rdRichValue" Target="richData/rdrichvalue.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sheetMetadata" Target="metadata.xml"/><Relationship Id="rId17" Type="http://schemas.microsoft.com/office/2017/06/relationships/rdSupportingPropertyBag" Target="richData/rdsupportingpropertybag.xml"/><Relationship Id="rId2" Type="http://schemas.openxmlformats.org/officeDocument/2006/relationships/worksheet" Target="worksheets/sheet2.xml"/><Relationship Id="rId16" Type="http://schemas.microsoft.com/office/2017/06/relationships/rdSupportingPropertyBagStructure" Target="richData/rdsupportingpropertybagstructure.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ichStyles" Target="richData/richStyles.xml"/><Relationship Id="rId10" Type="http://schemas.openxmlformats.org/officeDocument/2006/relationships/styles" Target="styles.xml"/><Relationship Id="rId19"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Structure" Target="richData/rdrichvaluestructure.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6">
  <rv s="0">
    <v>https://www.bing.com/financeapi/forcetrigger?t=c53l5r&amp;q=XNSE%3aSILVER&amp;form=skydnc</v>
    <v>Learn more on Bing</v>
  </rv>
  <rv s="1">
    <v>en-US</v>
    <v>c53l5r</v>
    <v>268435456</v>
    <v>1</v>
    <v>Powered by Refinitiv</v>
    <v>0</v>
    <v>Aditya BSL Silver ETF (XNSE:SILVER)</v>
    <v>2</v>
    <v>3</v>
    <v>Finance</v>
    <v>4</v>
    <v>371.89</v>
    <v>89</v>
    <v>1.2724</v>
    <v>2.63</v>
    <v>1.1265000000000001E-2</v>
    <v>INR</v>
    <v>National Stock Exchange of India</v>
    <v>XNSE</v>
    <v>3.5999999999999999E-3</v>
    <v>239.06</v>
    <v>ETF</v>
    <v>46122.497083333335</v>
    <v>0</v>
    <v>235.22</v>
    <v>28536920000</v>
    <v>Aditya BSL Silver ETF</v>
    <v>236.95</v>
    <v>233.46</v>
    <v>236.09</v>
    <v>SILVER</v>
    <v>Aditya BSL Silver ETF (XNSE:SILVER)</v>
    <v>1712168</v>
  </rv>
  <rv s="2">
    <v>1</v>
  </rv>
  <rv s="0">
    <v>https://www.bing.com/financeapi/forcetrigger?t=adedtc&amp;q=XSHE%3a300221&amp;form=skydnc</v>
    <v>Learn more on Bing</v>
  </rv>
  <rv s="3">
    <v>en-US</v>
    <v>adedtc</v>
    <v>268435456</v>
    <v>1</v>
    <v>Powered by Refinitiv</v>
    <v>5</v>
    <v>GUANGDONG SILVER AGE SCI &amp;TECH CO., LTD. (XSHE:300221)</v>
    <v>6</v>
    <v>7</v>
    <v>Finance</v>
    <v>8</v>
    <v>13.09</v>
    <v>5.83</v>
    <v>1.2517</v>
    <v>0.06</v>
    <v>6.1409999999999998E-3</v>
    <v>CNY</v>
    <v>Guangdong Silver Age Sci &amp;Tech Co Ltd is a China-based company mainly engaged in the research and development, production and sales of new polymer materials. The Company's business includes polymer modified plastics, smart lighting, 3D printing materials and precise chemicals. The Company's main products are modified plastics, consumer smart set light strips, lamps, silicone neon light strips, holiday light strings, cabinet lights, bathroom space lighting and bathroom waterproof light strips. The Company mainly conducts business in domestic and foreign markets.</v>
    <v>1404</v>
    <v>Shenzhen Stock Exchange</v>
    <v>XSHE</v>
    <v>XSHE</v>
    <v>Silver Age Engineering Plastic (Dongguan) Co., Ltd., No. 13 Nange West Road, Daojiao Town, DONGGUAN, GUANGDONG, 523187 CN</v>
    <v>10.02</v>
    <v>Chemicals</v>
    <v>Stock</v>
    <v>46122.3125</v>
    <v>3</v>
    <v>9.83</v>
    <v>5405541000</v>
    <v>GUANGDONG SILVER AGE SCI &amp;TECH CO., LTD.</v>
    <v>GUANGDONG SILVER AGE SCI &amp;TECH CO., LTD.</v>
    <v>9.86</v>
    <v>46.786999999999999</v>
    <v>9.77</v>
    <v>9.83</v>
    <v>473754700</v>
    <v>300221</v>
    <v>GUANGDONG SILVER AGE SCI &amp;TECH CO., LTD. (XSHE:300221)</v>
    <v>10935300</v>
    <v>16501940</v>
    <v>1997</v>
  </rv>
  <rv s="2">
    <v>4</v>
  </rv>
</rvData>
</file>

<file path=xl/richData/rdrichvaluestructure.xml><?xml version="1.0" encoding="utf-8"?>
<rvStructures xmlns="http://schemas.microsoft.com/office/spreadsheetml/2017/richdata" count="4">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2">
    <a count="33">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Market cap</v>
      <v t="s">Beta</v>
      <v t="s">Instrument type</v>
      <v t="s">_Flags</v>
      <v t="s">UniqueName</v>
      <v t="s">_DisplayString</v>
      <v t="s">LearnMoreOnLink</v>
      <v t="s">%ProviderInfo</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9">
    <spb s="0">
      <v>0</v>
      <v>Name</v>
      <v>LearnMoreOnLink</v>
    </spb>
    <spb s="1">
      <v>0</v>
      <v>0</v>
      <v>0</v>
    </spb>
    <spb s="2">
      <v>1</v>
      <v>1</v>
      <v>1</v>
    </spb>
    <spb s="3">
      <v>1</v>
      <v>2</v>
      <v>1</v>
      <v>3</v>
      <v>1</v>
      <v>1</v>
      <v>1</v>
      <v>4</v>
      <v>5</v>
      <v>6</v>
      <v>1</v>
      <v>1</v>
      <v>5</v>
      <v>1</v>
      <v>7</v>
      <v>8</v>
    </spb>
    <spb s="4">
      <v>Delayed 5 minutes</v>
      <v>from previous close</v>
      <v>from previous close</v>
      <v>GMT</v>
    </spb>
    <spb s="0">
      <v>1</v>
      <v>Name</v>
      <v>LearnMoreOnLink</v>
    </spb>
    <spb s="5">
      <v>1</v>
      <v>1</v>
      <v>1</v>
      <v>1</v>
    </spb>
    <spb s="6">
      <v>9</v>
      <v>2</v>
      <v>2</v>
      <v>9</v>
      <v>3</v>
      <v>9</v>
      <v>9</v>
      <v>9</v>
      <v>4</v>
      <v>4</v>
      <v>5</v>
      <v>10</v>
      <v>9</v>
      <v>9</v>
      <v>9</v>
      <v>4</v>
      <v>7</v>
      <v>11</v>
      <v>8</v>
      <v>4</v>
    </spb>
    <spb s="4">
      <v>Delayed 30 minutes</v>
      <v>from previous close</v>
      <v>from previous close</v>
      <v>GMT</v>
    </spb>
  </spbData>
</supportingPropertyBags>
</file>

<file path=xl/richData/rdsupportingpropertybagstructure.xml><?xml version="1.0" encoding="utf-8"?>
<spbStructures xmlns="http://schemas.microsoft.com/office/spreadsheetml/2017/richdata2" count="7">
  <s>
    <k n="^Order" t="spba"/>
    <k n="TitleProperty" t="s"/>
    <k n="SubTitleProperty" t="s"/>
  </s>
  <s>
    <k n="ShowInCardView" t="b"/>
    <k n="ShowInDotNotation" t="b"/>
    <k n="ShowInAutoComplete" t="b"/>
  </s>
  <s>
    <k n="UniqueName" t="spb"/>
    <k n="`%ProviderInfo" t="spb"/>
    <k n="LearnMoreOnLink" t="spb"/>
  </s>
  <s>
    <k n="Low" t="i"/>
    <k n="Beta" t="i"/>
    <k n="High" t="i"/>
    <k n="Name" t="i"/>
    <k n="Open" t="i"/>
    <k n="Price" t="i"/>
    <k n="Change" t="i"/>
    <k n="Volume" t="i"/>
    <k n="Change (%)" t="i"/>
    <k n="Market cap" t="i"/>
    <k n="52 week low" t="i"/>
    <k n="52 week high" t="i"/>
    <k n="Expense ratio" t="i"/>
    <k n="Previous close" t="i"/>
    <k n="Last trade time" t="i"/>
    <k n="`%EntityServiceId" t="i"/>
  </s>
  <s>
    <k n="Price" t="s"/>
    <k n="Change" t="s"/>
    <k n="Change (%)" t="s"/>
    <k n="Last trade time" t="s"/>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dd/mm/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 xml:space="preserve">_ [$₹-as-IN] * #,##0.00_ ;_ [$₹-as-IN] * -#,##0.00_ ;_ [$₹-as-IN] * "-"??_ ;_ @_ </rpv>
    </rSty>
    <rSty dxfid="5">
      <rpv i="0">#,##0.00</rpv>
    </rSty>
    <rSty>
      <rpv i="1">1</rpv>
    </rSty>
    <rSty dxfid="4">
      <rpv i="0">#,##0</rpv>
    </rSty>
    <rSty dxfid="3"/>
    <rSty dxfid="1">
      <rpv i="0" xml:space="preserve">_ [$₹-as-IN] * #,##0_ ;_ [$₹-as-IN] * -#,##0_ ;_ [$₹-as-IN] * "-"_ ;_ @_ </rpv>
    </rSty>
    <rSty dxfid="2"/>
    <rSty dxfid="0">
      <rpv i="0">0.00</rpv>
    </rSty>
    <rSty dxfid="1">
      <rpv i="0" xml:space="preserve">_ [$¥-zh-CN]* #,##0.00_ ;_ [$¥-zh-CN]* -#,##0.00_ ;_ [$¥-zh-CN]* "-"??_ ;_ @_ </rpv>
    </rSty>
    <rSty dxfid="1">
      <rpv i="0" xml:space="preserve">_ [$¥-zh-CN]* #,##0_ ;_ [$¥-zh-CN]* -#,##0_ ;_ [$¥-zh-CN]* "-"_ ;_ @_ </rpv>
    </rSty>
    <rSty dxfid="6">
      <rpv i="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350D485-BB25-4270-8E31-68C8A1AE356C}">
  <we:reference id="wa200008627" version="1.2.0.5" store="en-US" storeType="OMEX"/>
  <we:alternateReferences>
    <we:reference id="WA200008627" version="1.2.0.5"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mailto:CIAHM@INSTAPA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rightToLeft="1" topLeftCell="B6" workbookViewId="0">
      <selection activeCell="E18" sqref="E18"/>
    </sheetView>
  </sheetViews>
  <sheetFormatPr defaultRowHeight="13.8" x14ac:dyDescent="0.25"/>
  <cols>
    <col min="1" max="1" width="3" bestFit="1" customWidth="1"/>
    <col min="2" max="2" width="49.796875" bestFit="1" customWidth="1"/>
    <col min="4" max="4" width="4.796875" customWidth="1"/>
    <col min="5" max="5" width="9.09765625" customWidth="1"/>
    <col min="6" max="6" width="7.3984375" customWidth="1"/>
    <col min="7" max="7" width="6.8984375" customWidth="1"/>
    <col min="8" max="8" width="56.59765625" bestFit="1" customWidth="1"/>
    <col min="9" max="9" width="56.59765625" customWidth="1"/>
    <col min="10" max="10" width="9" customWidth="1"/>
    <col min="11" max="11" width="53.796875" customWidth="1"/>
  </cols>
  <sheetData>
    <row r="1" spans="1:11" ht="25.2" customHeight="1" thickTop="1" thickBot="1" x14ac:dyDescent="0.3">
      <c r="A1" s="30" t="s">
        <v>138</v>
      </c>
      <c r="B1" s="17" t="s">
        <v>122</v>
      </c>
      <c r="C1" s="18" t="s">
        <v>124</v>
      </c>
      <c r="D1" s="18" t="s">
        <v>2</v>
      </c>
      <c r="E1" s="18" t="s">
        <v>3</v>
      </c>
      <c r="F1" s="19" t="s">
        <v>4</v>
      </c>
      <c r="G1" s="20" t="s">
        <v>137</v>
      </c>
      <c r="H1" s="23" t="s">
        <v>123</v>
      </c>
      <c r="I1" s="4" t="s">
        <v>0</v>
      </c>
      <c r="J1" s="1" t="s">
        <v>1</v>
      </c>
      <c r="K1" s="1" t="s">
        <v>5</v>
      </c>
    </row>
    <row r="2" spans="1:11" ht="14.4" thickTop="1" x14ac:dyDescent="0.25">
      <c r="A2" s="28">
        <v>1</v>
      </c>
      <c r="B2" s="14" t="s">
        <v>99</v>
      </c>
      <c r="C2" s="15" t="s">
        <v>125</v>
      </c>
      <c r="D2" s="15">
        <v>1</v>
      </c>
      <c r="E2" s="15">
        <v>20000</v>
      </c>
      <c r="F2" s="16">
        <f t="shared" ref="F2:F24" si="0">D2*E2</f>
        <v>20000</v>
      </c>
      <c r="G2" s="22" t="b">
        <v>1</v>
      </c>
      <c r="H2" s="24" t="s">
        <v>77</v>
      </c>
      <c r="I2" t="s">
        <v>7</v>
      </c>
      <c r="J2" t="s">
        <v>8</v>
      </c>
      <c r="K2" t="s">
        <v>9</v>
      </c>
    </row>
    <row r="3" spans="1:11" x14ac:dyDescent="0.25">
      <c r="A3" s="28">
        <v>2</v>
      </c>
      <c r="B3" s="5" t="s">
        <v>100</v>
      </c>
      <c r="C3" s="6" t="s">
        <v>135</v>
      </c>
      <c r="D3" s="6">
        <v>0</v>
      </c>
      <c r="E3" s="6">
        <v>0</v>
      </c>
      <c r="F3" s="7">
        <f t="shared" si="0"/>
        <v>0</v>
      </c>
      <c r="G3" s="22" t="b">
        <v>0</v>
      </c>
      <c r="H3" s="25" t="s">
        <v>78</v>
      </c>
      <c r="I3" t="s">
        <v>10</v>
      </c>
      <c r="J3" t="s">
        <v>11</v>
      </c>
      <c r="K3" t="s">
        <v>12</v>
      </c>
    </row>
    <row r="4" spans="1:11" x14ac:dyDescent="0.25">
      <c r="A4" s="28">
        <v>3</v>
      </c>
      <c r="B4" s="5" t="s">
        <v>101</v>
      </c>
      <c r="C4" s="6" t="s">
        <v>126</v>
      </c>
      <c r="D4" s="6">
        <v>2</v>
      </c>
      <c r="E4" s="6">
        <v>5000</v>
      </c>
      <c r="F4" s="7">
        <f t="shared" si="0"/>
        <v>10000</v>
      </c>
      <c r="G4" s="22" t="b">
        <v>0</v>
      </c>
      <c r="H4" s="25" t="s">
        <v>79</v>
      </c>
      <c r="I4" t="s">
        <v>13</v>
      </c>
      <c r="J4" t="s">
        <v>14</v>
      </c>
      <c r="K4" t="s">
        <v>15</v>
      </c>
    </row>
    <row r="5" spans="1:11" x14ac:dyDescent="0.25">
      <c r="A5" s="28">
        <v>4</v>
      </c>
      <c r="B5" s="5" t="s">
        <v>102</v>
      </c>
      <c r="C5" s="6" t="s">
        <v>126</v>
      </c>
      <c r="D5" s="6">
        <v>2</v>
      </c>
      <c r="E5" s="6">
        <v>40000</v>
      </c>
      <c r="F5" s="7">
        <f t="shared" si="0"/>
        <v>80000</v>
      </c>
      <c r="G5" s="22" t="b">
        <v>1</v>
      </c>
      <c r="H5" s="25" t="s">
        <v>80</v>
      </c>
      <c r="I5" t="s">
        <v>16</v>
      </c>
      <c r="J5" t="s">
        <v>14</v>
      </c>
      <c r="K5" t="s">
        <v>70</v>
      </c>
    </row>
    <row r="6" spans="1:11" x14ac:dyDescent="0.25">
      <c r="A6" s="28">
        <v>5</v>
      </c>
      <c r="B6" s="5" t="s">
        <v>103</v>
      </c>
      <c r="C6" s="6" t="s">
        <v>127</v>
      </c>
      <c r="D6" s="6">
        <v>3</v>
      </c>
      <c r="E6" s="6">
        <v>2500</v>
      </c>
      <c r="F6" s="7">
        <f t="shared" si="0"/>
        <v>7500</v>
      </c>
      <c r="G6" s="22" t="b">
        <v>1</v>
      </c>
      <c r="H6" s="25" t="s">
        <v>81</v>
      </c>
      <c r="I6" t="s">
        <v>17</v>
      </c>
      <c r="J6" t="s">
        <v>71</v>
      </c>
      <c r="K6" t="s">
        <v>18</v>
      </c>
    </row>
    <row r="7" spans="1:11" x14ac:dyDescent="0.25">
      <c r="A7" s="28">
        <v>6</v>
      </c>
      <c r="B7" s="5" t="s">
        <v>104</v>
      </c>
      <c r="C7" s="6" t="s">
        <v>128</v>
      </c>
      <c r="D7" s="6">
        <v>8</v>
      </c>
      <c r="E7" s="6">
        <v>600</v>
      </c>
      <c r="F7" s="7">
        <f t="shared" si="0"/>
        <v>4800</v>
      </c>
      <c r="G7" s="22" t="b">
        <v>1</v>
      </c>
      <c r="H7" s="25" t="s">
        <v>82</v>
      </c>
      <c r="I7" t="s">
        <v>19</v>
      </c>
      <c r="J7" t="s">
        <v>20</v>
      </c>
      <c r="K7" t="s">
        <v>21</v>
      </c>
    </row>
    <row r="8" spans="1:11" x14ac:dyDescent="0.25">
      <c r="A8" s="28">
        <v>7</v>
      </c>
      <c r="B8" s="5" t="s">
        <v>105</v>
      </c>
      <c r="C8" s="6" t="s">
        <v>129</v>
      </c>
      <c r="D8" s="6">
        <v>10</v>
      </c>
      <c r="E8" s="6">
        <v>50</v>
      </c>
      <c r="F8" s="7">
        <f t="shared" si="0"/>
        <v>500</v>
      </c>
      <c r="G8" s="22" t="b">
        <v>1</v>
      </c>
      <c r="H8" s="25" t="s">
        <v>83</v>
      </c>
      <c r="I8" t="s">
        <v>22</v>
      </c>
      <c r="J8" t="s">
        <v>23</v>
      </c>
      <c r="K8" t="s">
        <v>24</v>
      </c>
    </row>
    <row r="9" spans="1:11" x14ac:dyDescent="0.25">
      <c r="A9" s="28">
        <v>8</v>
      </c>
      <c r="B9" s="5" t="s">
        <v>106</v>
      </c>
      <c r="C9" s="6" t="s">
        <v>126</v>
      </c>
      <c r="D9" s="6">
        <v>2</v>
      </c>
      <c r="E9" s="6">
        <v>50000</v>
      </c>
      <c r="F9" s="7">
        <f t="shared" si="0"/>
        <v>100000</v>
      </c>
      <c r="G9" s="22" t="b">
        <v>1</v>
      </c>
      <c r="H9" s="25" t="s">
        <v>84</v>
      </c>
      <c r="I9" t="s">
        <v>72</v>
      </c>
      <c r="J9" t="s">
        <v>14</v>
      </c>
      <c r="K9" t="s">
        <v>25</v>
      </c>
    </row>
    <row r="10" spans="1:11" x14ac:dyDescent="0.25">
      <c r="A10" s="28">
        <v>9</v>
      </c>
      <c r="B10" s="5" t="s">
        <v>107</v>
      </c>
      <c r="C10" s="6" t="s">
        <v>128</v>
      </c>
      <c r="D10" s="6">
        <v>2</v>
      </c>
      <c r="E10" s="6">
        <v>1500</v>
      </c>
      <c r="F10" s="7">
        <f t="shared" si="0"/>
        <v>3000</v>
      </c>
      <c r="G10" s="22" t="b">
        <v>0</v>
      </c>
      <c r="H10" s="25" t="s">
        <v>85</v>
      </c>
      <c r="I10" t="s">
        <v>26</v>
      </c>
      <c r="J10" t="s">
        <v>20</v>
      </c>
      <c r="K10" t="s">
        <v>27</v>
      </c>
    </row>
    <row r="11" spans="1:11" x14ac:dyDescent="0.25">
      <c r="A11" s="28">
        <v>10</v>
      </c>
      <c r="B11" s="5" t="s">
        <v>108</v>
      </c>
      <c r="C11" s="6" t="s">
        <v>128</v>
      </c>
      <c r="D11" s="6">
        <v>2</v>
      </c>
      <c r="E11" s="6">
        <v>1900</v>
      </c>
      <c r="F11" s="7">
        <f t="shared" si="0"/>
        <v>3800</v>
      </c>
      <c r="G11" s="22" t="b">
        <v>0</v>
      </c>
      <c r="H11" s="25" t="s">
        <v>86</v>
      </c>
      <c r="I11" t="s">
        <v>28</v>
      </c>
      <c r="J11" t="s">
        <v>20</v>
      </c>
      <c r="K11" t="s">
        <v>29</v>
      </c>
    </row>
    <row r="12" spans="1:11" x14ac:dyDescent="0.25">
      <c r="A12" s="28">
        <v>11</v>
      </c>
      <c r="B12" s="5" t="s">
        <v>109</v>
      </c>
      <c r="C12" s="6" t="s">
        <v>130</v>
      </c>
      <c r="D12" s="6">
        <v>120</v>
      </c>
      <c r="E12" s="6">
        <v>287.21249999999998</v>
      </c>
      <c r="F12" s="7">
        <f t="shared" si="0"/>
        <v>34465.5</v>
      </c>
      <c r="G12" s="22" t="b">
        <v>0</v>
      </c>
      <c r="H12" s="25" t="s">
        <v>87</v>
      </c>
      <c r="I12" t="s">
        <v>73</v>
      </c>
      <c r="J12" t="s">
        <v>30</v>
      </c>
      <c r="K12" t="s">
        <v>75</v>
      </c>
    </row>
    <row r="13" spans="1:11" x14ac:dyDescent="0.25">
      <c r="A13" s="28">
        <v>12</v>
      </c>
      <c r="B13" s="5" t="s">
        <v>110</v>
      </c>
      <c r="C13" s="6" t="s">
        <v>130</v>
      </c>
      <c r="D13" s="6">
        <v>480</v>
      </c>
      <c r="E13" s="6">
        <v>135.78750000000002</v>
      </c>
      <c r="F13" s="7">
        <f t="shared" si="0"/>
        <v>65178.000000000015</v>
      </c>
      <c r="G13" s="22" t="b">
        <v>0</v>
      </c>
      <c r="H13" s="25" t="s">
        <v>87</v>
      </c>
      <c r="I13" t="s">
        <v>74</v>
      </c>
      <c r="J13" t="s">
        <v>30</v>
      </c>
      <c r="K13" t="s">
        <v>75</v>
      </c>
    </row>
    <row r="14" spans="1:11" x14ac:dyDescent="0.25">
      <c r="A14" s="28">
        <v>13</v>
      </c>
      <c r="B14" s="5" t="s">
        <v>111</v>
      </c>
      <c r="C14" s="6" t="s">
        <v>130</v>
      </c>
      <c r="D14" s="6">
        <v>600</v>
      </c>
      <c r="E14" s="6">
        <v>5</v>
      </c>
      <c r="F14" s="7">
        <f t="shared" si="0"/>
        <v>3000</v>
      </c>
      <c r="G14" s="22" t="b">
        <v>0</v>
      </c>
      <c r="H14" s="25" t="s">
        <v>88</v>
      </c>
      <c r="I14" t="s">
        <v>31</v>
      </c>
      <c r="J14" t="s">
        <v>30</v>
      </c>
      <c r="K14" t="s">
        <v>32</v>
      </c>
    </row>
    <row r="15" spans="1:11" x14ac:dyDescent="0.25">
      <c r="A15" s="28">
        <v>14</v>
      </c>
      <c r="B15" s="5" t="s">
        <v>112</v>
      </c>
      <c r="C15" s="6" t="s">
        <v>130</v>
      </c>
      <c r="D15" s="6">
        <f>((15*166)+(7*166)+(15*166)+(8*80))/400</f>
        <v>16.954999999999998</v>
      </c>
      <c r="E15" s="6">
        <v>1800</v>
      </c>
      <c r="F15" s="7">
        <f t="shared" si="0"/>
        <v>30518.999999999996</v>
      </c>
      <c r="G15" s="22" t="b">
        <v>1</v>
      </c>
      <c r="H15" s="25" t="s">
        <v>89</v>
      </c>
      <c r="I15" t="s">
        <v>33</v>
      </c>
      <c r="J15" t="s">
        <v>30</v>
      </c>
      <c r="K15" t="s">
        <v>34</v>
      </c>
    </row>
    <row r="16" spans="1:11" x14ac:dyDescent="0.25">
      <c r="A16" s="28">
        <v>15</v>
      </c>
      <c r="B16" s="5" t="s">
        <v>113</v>
      </c>
      <c r="C16" s="6" t="s">
        <v>130</v>
      </c>
      <c r="D16" s="6">
        <v>4000</v>
      </c>
      <c r="E16" s="6">
        <v>5.2</v>
      </c>
      <c r="F16" s="7">
        <f t="shared" si="0"/>
        <v>20800</v>
      </c>
      <c r="G16" s="22" t="b">
        <v>1</v>
      </c>
      <c r="H16" s="25" t="s">
        <v>90</v>
      </c>
      <c r="I16" t="s">
        <v>76</v>
      </c>
      <c r="J16" t="s">
        <v>30</v>
      </c>
      <c r="K16" t="s">
        <v>35</v>
      </c>
    </row>
    <row r="17" spans="1:11" x14ac:dyDescent="0.25">
      <c r="A17" s="28">
        <v>16</v>
      </c>
      <c r="B17" s="5" t="s">
        <v>114</v>
      </c>
      <c r="C17" s="6" t="s">
        <v>128</v>
      </c>
      <c r="D17" s="6">
        <v>6</v>
      </c>
      <c r="E17" s="6">
        <v>500</v>
      </c>
      <c r="F17" s="7">
        <f t="shared" si="0"/>
        <v>3000</v>
      </c>
      <c r="G17" s="22" t="b">
        <v>0</v>
      </c>
      <c r="H17" s="25" t="s">
        <v>91</v>
      </c>
      <c r="I17" t="s">
        <v>36</v>
      </c>
      <c r="J17" t="s">
        <v>20</v>
      </c>
      <c r="K17" t="s">
        <v>37</v>
      </c>
    </row>
    <row r="18" spans="1:11" x14ac:dyDescent="0.25">
      <c r="A18" s="28">
        <v>17</v>
      </c>
      <c r="B18" s="5" t="s">
        <v>115</v>
      </c>
      <c r="C18" s="6" t="s">
        <v>128</v>
      </c>
      <c r="D18" s="6">
        <v>100</v>
      </c>
      <c r="E18" s="6">
        <v>3.25</v>
      </c>
      <c r="F18" s="7">
        <f t="shared" si="0"/>
        <v>325</v>
      </c>
      <c r="G18" s="22" t="b">
        <v>0</v>
      </c>
      <c r="H18" s="25" t="s">
        <v>92</v>
      </c>
      <c r="I18" t="s">
        <v>38</v>
      </c>
      <c r="J18" t="s">
        <v>20</v>
      </c>
      <c r="K18" t="s">
        <v>39</v>
      </c>
    </row>
    <row r="19" spans="1:11" x14ac:dyDescent="0.25">
      <c r="A19" s="28">
        <v>18</v>
      </c>
      <c r="B19" s="5" t="s">
        <v>116</v>
      </c>
      <c r="C19" s="6" t="s">
        <v>128</v>
      </c>
      <c r="D19" s="6">
        <v>6</v>
      </c>
      <c r="E19" s="6">
        <v>780</v>
      </c>
      <c r="F19" s="7">
        <f t="shared" si="0"/>
        <v>4680</v>
      </c>
      <c r="G19" s="22" t="b">
        <v>0</v>
      </c>
      <c r="H19" s="25" t="s">
        <v>93</v>
      </c>
      <c r="I19" t="s">
        <v>40</v>
      </c>
      <c r="J19" t="s">
        <v>20</v>
      </c>
      <c r="K19" t="s">
        <v>41</v>
      </c>
    </row>
    <row r="20" spans="1:11" x14ac:dyDescent="0.25">
      <c r="A20" s="28">
        <v>19</v>
      </c>
      <c r="B20" s="5" t="s">
        <v>121</v>
      </c>
      <c r="C20" s="6" t="s">
        <v>128</v>
      </c>
      <c r="D20" s="6">
        <v>2</v>
      </c>
      <c r="E20" s="6">
        <v>8500</v>
      </c>
      <c r="F20" s="7">
        <f t="shared" si="0"/>
        <v>17000</v>
      </c>
      <c r="G20" s="22" t="b">
        <v>1</v>
      </c>
      <c r="H20" s="25" t="s">
        <v>94</v>
      </c>
      <c r="I20" t="s">
        <v>42</v>
      </c>
      <c r="J20" t="s">
        <v>20</v>
      </c>
      <c r="K20" t="s">
        <v>43</v>
      </c>
    </row>
    <row r="21" spans="1:11" x14ac:dyDescent="0.25">
      <c r="A21" s="28">
        <v>20</v>
      </c>
      <c r="B21" s="5" t="s">
        <v>117</v>
      </c>
      <c r="C21" s="6" t="s">
        <v>131</v>
      </c>
      <c r="D21" s="6">
        <v>1</v>
      </c>
      <c r="E21" s="6">
        <v>5000</v>
      </c>
      <c r="F21" s="7">
        <f t="shared" si="0"/>
        <v>5000</v>
      </c>
      <c r="G21" s="22" t="b">
        <v>1</v>
      </c>
      <c r="H21" s="25" t="s">
        <v>95</v>
      </c>
      <c r="I21" t="s">
        <v>44</v>
      </c>
      <c r="J21" t="s">
        <v>45</v>
      </c>
      <c r="K21" t="s">
        <v>46</v>
      </c>
    </row>
    <row r="22" spans="1:11" x14ac:dyDescent="0.25">
      <c r="A22" s="28">
        <v>21</v>
      </c>
      <c r="B22" s="5" t="s">
        <v>118</v>
      </c>
      <c r="C22" s="6" t="s">
        <v>135</v>
      </c>
      <c r="D22" s="6">
        <v>1</v>
      </c>
      <c r="E22" s="6">
        <v>5000</v>
      </c>
      <c r="F22" s="7">
        <f t="shared" si="0"/>
        <v>5000</v>
      </c>
      <c r="G22" s="22" t="b">
        <v>1</v>
      </c>
      <c r="H22" s="25" t="s">
        <v>96</v>
      </c>
      <c r="I22" t="s">
        <v>47</v>
      </c>
      <c r="J22" t="s">
        <v>11</v>
      </c>
      <c r="K22" t="s">
        <v>48</v>
      </c>
    </row>
    <row r="23" spans="1:11" x14ac:dyDescent="0.25">
      <c r="A23" s="28">
        <v>22</v>
      </c>
      <c r="B23" s="5" t="s">
        <v>119</v>
      </c>
      <c r="C23" s="6" t="s">
        <v>132</v>
      </c>
      <c r="D23" s="6">
        <v>1</v>
      </c>
      <c r="E23" s="6">
        <v>1</v>
      </c>
      <c r="F23" s="7">
        <f t="shared" si="0"/>
        <v>1</v>
      </c>
      <c r="G23" s="22" t="b">
        <v>0</v>
      </c>
      <c r="H23" s="25" t="s">
        <v>97</v>
      </c>
      <c r="I23" t="s">
        <v>49</v>
      </c>
      <c r="J23" t="s">
        <v>50</v>
      </c>
      <c r="K23" t="s">
        <v>51</v>
      </c>
    </row>
    <row r="24" spans="1:11" ht="14.4" thickBot="1" x14ac:dyDescent="0.3">
      <c r="A24" s="28">
        <v>23</v>
      </c>
      <c r="B24" s="8" t="s">
        <v>120</v>
      </c>
      <c r="C24" s="9" t="s">
        <v>136</v>
      </c>
      <c r="D24" s="9">
        <v>1</v>
      </c>
      <c r="E24" s="9">
        <v>20000</v>
      </c>
      <c r="F24" s="10">
        <f t="shared" si="0"/>
        <v>20000</v>
      </c>
      <c r="G24" s="22" t="b">
        <v>1</v>
      </c>
      <c r="H24" s="26" t="s">
        <v>98</v>
      </c>
      <c r="I24" t="s">
        <v>52</v>
      </c>
      <c r="J24" t="s">
        <v>6</v>
      </c>
      <c r="K24" t="s">
        <v>53</v>
      </c>
    </row>
    <row r="25" spans="1:11" ht="15" thickTop="1" thickBot="1" x14ac:dyDescent="0.3">
      <c r="A25" s="29"/>
      <c r="B25" s="12"/>
      <c r="C25" s="13"/>
      <c r="D25" s="13"/>
      <c r="E25" s="13"/>
      <c r="F25" s="11">
        <f>SUM(F2:F24)</f>
        <v>438568.5</v>
      </c>
      <c r="G25" s="21"/>
      <c r="H25" s="27"/>
    </row>
    <row r="26" spans="1:11" ht="14.4" thickTop="1" x14ac:dyDescent="0.25"/>
  </sheetData>
  <printOptions horizontalCentered="1" verticalCentered="1"/>
  <pageMargins left="0" right="0" top="0" bottom="0" header="0" footer="0"/>
  <pageSetup paperSize="9" orientation="landscape" horizontalDpi="300" verticalDpi="300" r:id="rId1"/>
  <headerFooter>
    <oddHeader>&amp;Rمستلزمات تحسين شبكة الري</oddHeader>
    <oddFooter>&amp;L&amp;D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11355-E80D-47EA-A382-A41505693A82}">
  <dimension ref="A1:F4"/>
  <sheetViews>
    <sheetView workbookViewId="0">
      <selection activeCell="D1" sqref="D1"/>
    </sheetView>
  </sheetViews>
  <sheetFormatPr defaultRowHeight="13.8" x14ac:dyDescent="0.25"/>
  <sheetData>
    <row r="1" spans="1:6" x14ac:dyDescent="0.25">
      <c r="A1">
        <v>1</v>
      </c>
      <c r="B1">
        <v>74.650000000000006</v>
      </c>
      <c r="C1">
        <v>900</v>
      </c>
      <c r="D1">
        <f>B1*(C1/1000)*$F$2</f>
        <v>8451.0520900321535</v>
      </c>
      <c r="F1">
        <f>81.5/31.1</f>
        <v>2.620578778135048</v>
      </c>
    </row>
    <row r="2" spans="1:6" x14ac:dyDescent="0.25">
      <c r="A2">
        <v>2</v>
      </c>
      <c r="B2">
        <v>115.2</v>
      </c>
      <c r="C2">
        <v>1000</v>
      </c>
      <c r="D2">
        <f>B2*(C2/1000)*$F$2</f>
        <v>14490.752411575562</v>
      </c>
      <c r="F2">
        <f>F1*48</f>
        <v>125.78778135048231</v>
      </c>
    </row>
    <row r="3" spans="1:6" x14ac:dyDescent="0.25">
      <c r="A3">
        <v>3</v>
      </c>
      <c r="B3">
        <v>117.97</v>
      </c>
      <c r="C3">
        <v>1000</v>
      </c>
      <c r="D3">
        <f>B3*(C3/1000)*$F$2</f>
        <v>14839.184565916397</v>
      </c>
    </row>
    <row r="4" spans="1:6" x14ac:dyDescent="0.25">
      <c r="A4">
        <v>4</v>
      </c>
      <c r="B4">
        <v>36.85</v>
      </c>
      <c r="C4">
        <v>800</v>
      </c>
      <c r="D4">
        <f>B4*(C4/1000)*$F$2</f>
        <v>3708.2237942122188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
  <sheetViews>
    <sheetView workbookViewId="0">
      <selection activeCell="B27" sqref="B27"/>
    </sheetView>
  </sheetViews>
  <sheetFormatPr defaultRowHeight="13.8" x14ac:dyDescent="0.25"/>
  <cols>
    <col min="1" max="1" width="53.8984375" bestFit="1" customWidth="1"/>
    <col min="2" max="2" width="15.09765625" bestFit="1" customWidth="1"/>
    <col min="3" max="3" width="11.796875" bestFit="1" customWidth="1"/>
  </cols>
  <sheetData>
    <row r="1" spans="1:3" x14ac:dyDescent="0.25">
      <c r="A1" s="1" t="s">
        <v>54</v>
      </c>
    </row>
    <row r="2" spans="1:3" x14ac:dyDescent="0.25">
      <c r="A2" t="s">
        <v>55</v>
      </c>
    </row>
    <row r="3" spans="1:3" ht="14.4" thickBot="1" x14ac:dyDescent="0.3">
      <c r="A3" t="s">
        <v>56</v>
      </c>
    </row>
    <row r="4" spans="1:3" ht="14.4" thickBot="1" x14ac:dyDescent="0.3">
      <c r="A4" t="s">
        <v>57</v>
      </c>
      <c r="B4" s="2" t="s">
        <v>134</v>
      </c>
      <c r="C4" s="3" t="s">
        <v>133</v>
      </c>
    </row>
    <row r="5" spans="1:3" ht="14.4" thickBot="1" x14ac:dyDescent="0.3">
      <c r="A5" t="s">
        <v>58</v>
      </c>
    </row>
    <row r="6" spans="1:3" ht="14.4" thickBot="1" x14ac:dyDescent="0.3">
      <c r="A6" t="s">
        <v>59</v>
      </c>
      <c r="B6" s="74"/>
      <c r="C6" s="75"/>
    </row>
    <row r="7" spans="1:3" x14ac:dyDescent="0.25">
      <c r="A7" t="s">
        <v>60</v>
      </c>
    </row>
    <row r="8" spans="1:3" x14ac:dyDescent="0.25">
      <c r="A8" t="s">
        <v>61</v>
      </c>
    </row>
  </sheetData>
  <mergeCells count="1">
    <mergeCell ref="B6:C6"/>
  </mergeCells>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0C442-CEA3-4B8B-8105-D6E766283357}">
  <dimension ref="A1:M12"/>
  <sheetViews>
    <sheetView rightToLeft="1" tabSelected="1" workbookViewId="0">
      <selection activeCell="A13" sqref="A13:XFD15"/>
    </sheetView>
  </sheetViews>
  <sheetFormatPr defaultRowHeight="13.8" x14ac:dyDescent="0.25"/>
  <cols>
    <col min="1" max="1" width="2.8984375" bestFit="1" customWidth="1"/>
    <col min="2" max="2" width="33.796875" bestFit="1" customWidth="1"/>
  </cols>
  <sheetData>
    <row r="1" spans="1:13" s="31" customFormat="1" x14ac:dyDescent="0.25">
      <c r="A1" s="32" t="s">
        <v>139</v>
      </c>
      <c r="B1" s="32" t="s">
        <v>154</v>
      </c>
      <c r="C1" s="32" t="s">
        <v>160</v>
      </c>
      <c r="D1" s="32" t="s">
        <v>149</v>
      </c>
      <c r="E1" s="32" t="s">
        <v>150</v>
      </c>
      <c r="F1" s="32" t="s">
        <v>151</v>
      </c>
    </row>
    <row r="2" spans="1:13" x14ac:dyDescent="0.25">
      <c r="A2" s="34" t="s">
        <v>140</v>
      </c>
      <c r="B2" s="35" t="s">
        <v>141</v>
      </c>
      <c r="C2" s="35"/>
      <c r="D2" s="35"/>
      <c r="E2" s="35"/>
      <c r="F2" s="36"/>
    </row>
    <row r="3" spans="1:13" x14ac:dyDescent="0.25">
      <c r="A3" s="33">
        <v>1</v>
      </c>
      <c r="B3" s="33" t="s">
        <v>155</v>
      </c>
      <c r="C3" s="33" t="s">
        <v>161</v>
      </c>
      <c r="D3" s="33" t="s">
        <v>127</v>
      </c>
      <c r="E3" s="33">
        <v>3</v>
      </c>
      <c r="F3" s="33"/>
    </row>
    <row r="4" spans="1:13" x14ac:dyDescent="0.25">
      <c r="A4" s="33">
        <v>2</v>
      </c>
      <c r="B4" s="33" t="s">
        <v>214</v>
      </c>
      <c r="C4" s="33" t="s">
        <v>213</v>
      </c>
      <c r="D4" s="33" t="s">
        <v>128</v>
      </c>
      <c r="E4" s="33">
        <v>3</v>
      </c>
      <c r="F4" s="33"/>
    </row>
    <row r="5" spans="1:13" x14ac:dyDescent="0.25">
      <c r="A5" s="33">
        <v>3</v>
      </c>
      <c r="B5" s="33" t="s">
        <v>142</v>
      </c>
      <c r="C5" s="33" t="s">
        <v>162</v>
      </c>
      <c r="D5" s="33" t="s">
        <v>128</v>
      </c>
      <c r="E5" s="33">
        <v>2</v>
      </c>
      <c r="F5" s="33"/>
    </row>
    <row r="6" spans="1:13" x14ac:dyDescent="0.25">
      <c r="A6" s="33">
        <v>4</v>
      </c>
      <c r="B6" s="33" t="s">
        <v>215</v>
      </c>
      <c r="C6" s="33" t="s">
        <v>166</v>
      </c>
      <c r="D6" s="33" t="s">
        <v>128</v>
      </c>
      <c r="E6" s="33">
        <v>3</v>
      </c>
      <c r="F6" s="33"/>
    </row>
    <row r="7" spans="1:13" ht="14.4" thickBot="1" x14ac:dyDescent="0.3">
      <c r="A7" s="33">
        <v>5</v>
      </c>
      <c r="B7" s="33" t="s">
        <v>216</v>
      </c>
      <c r="C7" s="33" t="s">
        <v>163</v>
      </c>
      <c r="D7" s="33" t="s">
        <v>128</v>
      </c>
      <c r="E7" s="33">
        <v>2</v>
      </c>
      <c r="F7" s="33"/>
    </row>
    <row r="8" spans="1:13" ht="14.4" thickBot="1" x14ac:dyDescent="0.3">
      <c r="A8" s="34" t="s">
        <v>143</v>
      </c>
      <c r="B8" s="35" t="s">
        <v>146</v>
      </c>
      <c r="C8" s="35"/>
      <c r="D8" s="35"/>
      <c r="E8" s="35"/>
      <c r="F8" s="36"/>
      <c r="J8" s="82"/>
      <c r="K8" s="82"/>
      <c r="L8" s="82"/>
      <c r="M8" s="82"/>
    </row>
    <row r="9" spans="1:13" x14ac:dyDescent="0.25">
      <c r="A9" s="33">
        <v>6</v>
      </c>
      <c r="B9" s="33" t="s">
        <v>217</v>
      </c>
      <c r="C9" s="33" t="s">
        <v>164</v>
      </c>
      <c r="D9" s="33" t="s">
        <v>159</v>
      </c>
      <c r="E9" s="33">
        <v>17</v>
      </c>
      <c r="F9" s="33"/>
    </row>
    <row r="10" spans="1:13" x14ac:dyDescent="0.25">
      <c r="A10" s="33">
        <v>7</v>
      </c>
      <c r="B10" s="33" t="s">
        <v>218</v>
      </c>
      <c r="C10" s="33" t="s">
        <v>161</v>
      </c>
      <c r="D10" s="33" t="s">
        <v>128</v>
      </c>
      <c r="E10" s="33">
        <v>4000</v>
      </c>
      <c r="F10" s="33"/>
    </row>
    <row r="11" spans="1:13" x14ac:dyDescent="0.25">
      <c r="A11" s="33">
        <v>8</v>
      </c>
      <c r="B11" s="33" t="s">
        <v>158</v>
      </c>
      <c r="C11" s="33" t="s">
        <v>165</v>
      </c>
      <c r="D11" s="33" t="s">
        <v>128</v>
      </c>
      <c r="E11" s="33">
        <v>400</v>
      </c>
      <c r="F11" s="33"/>
    </row>
    <row r="12" spans="1:13" x14ac:dyDescent="0.25">
      <c r="A12" s="33">
        <v>9</v>
      </c>
      <c r="B12" s="33" t="s">
        <v>157</v>
      </c>
      <c r="C12" s="33" t="s">
        <v>165</v>
      </c>
      <c r="D12" s="33" t="s">
        <v>128</v>
      </c>
      <c r="E12" s="33">
        <v>400</v>
      </c>
      <c r="F12" s="33"/>
    </row>
  </sheetData>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
  <sheetViews>
    <sheetView workbookViewId="0"/>
  </sheetViews>
  <sheetFormatPr defaultRowHeight="13.8" x14ac:dyDescent="0.25"/>
  <sheetData>
    <row r="1" spans="1:1" x14ac:dyDescent="0.25">
      <c r="A1" s="1" t="s">
        <v>62</v>
      </c>
    </row>
    <row r="2" spans="1:1" x14ac:dyDescent="0.25">
      <c r="A2" t="s">
        <v>63</v>
      </c>
    </row>
    <row r="3" spans="1:1" x14ac:dyDescent="0.25">
      <c r="A3" t="s">
        <v>64</v>
      </c>
    </row>
    <row r="4" spans="1:1" x14ac:dyDescent="0.25">
      <c r="A4" t="s">
        <v>65</v>
      </c>
    </row>
    <row r="5" spans="1:1" x14ac:dyDescent="0.25">
      <c r="A5" t="s">
        <v>66</v>
      </c>
    </row>
    <row r="6" spans="1:1" x14ac:dyDescent="0.25">
      <c r="A6" t="s">
        <v>67</v>
      </c>
    </row>
    <row r="7" spans="1:1" x14ac:dyDescent="0.25">
      <c r="A7" t="s">
        <v>68</v>
      </c>
    </row>
    <row r="8" spans="1:1" x14ac:dyDescent="0.25">
      <c r="A8" t="s">
        <v>69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88FBB-6732-42E7-A2A3-CB8DD80500CD}">
  <dimension ref="B1:G57"/>
  <sheetViews>
    <sheetView rightToLeft="1" topLeftCell="A39" zoomScaleNormal="100" zoomScaleSheetLayoutView="65" workbookViewId="0">
      <selection activeCell="G50" sqref="G50:G52"/>
    </sheetView>
  </sheetViews>
  <sheetFormatPr defaultRowHeight="13.8" x14ac:dyDescent="0.25"/>
  <cols>
    <col min="1" max="1" width="2.69921875" customWidth="1"/>
    <col min="2" max="2" width="2.69921875" bestFit="1" customWidth="1"/>
    <col min="3" max="3" width="26.09765625" customWidth="1"/>
    <col min="4" max="4" width="6.3984375" customWidth="1"/>
    <col min="5" max="5" width="6.09765625" customWidth="1"/>
    <col min="6" max="6" width="10.19921875" customWidth="1"/>
    <col min="7" max="7" width="17.5" customWidth="1"/>
    <col min="8" max="8" width="2.69921875" customWidth="1"/>
  </cols>
  <sheetData>
    <row r="1" spans="2:7" ht="40.200000000000003" customHeight="1" thickBot="1" x14ac:dyDescent="0.3">
      <c r="B1" s="62" t="s">
        <v>180</v>
      </c>
      <c r="C1" s="61"/>
      <c r="D1" s="61"/>
      <c r="E1" s="61"/>
      <c r="F1" s="61"/>
      <c r="G1" s="63">
        <f ca="1">TODAY()</f>
        <v>46123</v>
      </c>
    </row>
    <row r="2" spans="2:7" ht="51.6" customHeight="1" thickBot="1" x14ac:dyDescent="0.3">
      <c r="B2" s="78" t="s">
        <v>198</v>
      </c>
      <c r="C2" s="78"/>
      <c r="D2" s="78"/>
      <c r="E2" s="78"/>
      <c r="F2" s="78"/>
      <c r="G2" s="78"/>
    </row>
    <row r="3" spans="2:7" ht="6" customHeight="1" thickTop="1" thickBot="1" x14ac:dyDescent="0.3">
      <c r="B3" s="56"/>
      <c r="C3" s="56"/>
      <c r="D3" s="56"/>
      <c r="E3" s="56"/>
      <c r="F3" s="56"/>
      <c r="G3" s="56"/>
    </row>
    <row r="4" spans="2:7" ht="19.95" customHeight="1" thickBot="1" x14ac:dyDescent="0.3">
      <c r="B4" s="58" t="s">
        <v>140</v>
      </c>
      <c r="C4" s="59" t="s">
        <v>141</v>
      </c>
      <c r="D4" s="59"/>
      <c r="E4" s="59"/>
      <c r="F4" s="59"/>
      <c r="G4" s="60">
        <f>G35</f>
        <v>83640</v>
      </c>
    </row>
    <row r="5" spans="2:7" ht="19.95" customHeight="1" thickTop="1" thickBot="1" x14ac:dyDescent="0.3">
      <c r="B5" s="58" t="s">
        <v>143</v>
      </c>
      <c r="C5" s="59" t="s">
        <v>144</v>
      </c>
      <c r="D5" s="59"/>
      <c r="E5" s="59"/>
      <c r="F5" s="59"/>
      <c r="G5" s="60">
        <f>G41</f>
        <v>274780</v>
      </c>
    </row>
    <row r="6" spans="2:7" ht="19.95" customHeight="1" thickTop="1" thickBot="1" x14ac:dyDescent="0.3">
      <c r="B6" s="58" t="s">
        <v>145</v>
      </c>
      <c r="C6" s="59" t="s">
        <v>146</v>
      </c>
      <c r="D6" s="59"/>
      <c r="E6" s="59"/>
      <c r="F6" s="59"/>
      <c r="G6" s="60">
        <f>G48</f>
        <v>91250</v>
      </c>
    </row>
    <row r="7" spans="2:7" ht="19.95" customHeight="1" thickTop="1" thickBot="1" x14ac:dyDescent="0.3">
      <c r="B7" s="58" t="s">
        <v>147</v>
      </c>
      <c r="C7" s="59" t="s">
        <v>148</v>
      </c>
      <c r="D7" s="59"/>
      <c r="E7" s="59"/>
      <c r="F7" s="59"/>
      <c r="G7" s="60">
        <f>G53</f>
        <v>10000</v>
      </c>
    </row>
    <row r="8" spans="2:7" ht="19.95" customHeight="1" thickTop="1" thickBot="1" x14ac:dyDescent="0.3">
      <c r="B8" s="58" t="s">
        <v>147</v>
      </c>
      <c r="C8" s="59" t="s">
        <v>199</v>
      </c>
      <c r="D8" s="59"/>
      <c r="E8" s="59"/>
      <c r="F8" s="59"/>
      <c r="G8" s="60">
        <v>100000</v>
      </c>
    </row>
    <row r="9" spans="2:7" ht="25.05" customHeight="1" thickTop="1" thickBot="1" x14ac:dyDescent="0.3">
      <c r="B9" s="79" t="s">
        <v>168</v>
      </c>
      <c r="C9" s="79"/>
      <c r="D9" s="79"/>
      <c r="E9" s="79"/>
      <c r="F9" s="79"/>
      <c r="G9" s="57">
        <f>SUM(G4:G8)</f>
        <v>559670</v>
      </c>
    </row>
    <row r="10" spans="2:7" x14ac:dyDescent="0.25">
      <c r="B10" s="64" t="s">
        <v>181</v>
      </c>
      <c r="C10" s="65"/>
      <c r="D10" s="65"/>
      <c r="E10" s="65"/>
      <c r="F10" s="65"/>
      <c r="G10" s="65"/>
    </row>
    <row r="11" spans="2:7" ht="6.6" customHeight="1" x14ac:dyDescent="0.25"/>
    <row r="12" spans="2:7" ht="41.4" customHeight="1" x14ac:dyDescent="0.25">
      <c r="B12" s="76" t="s">
        <v>182</v>
      </c>
      <c r="C12" s="76"/>
      <c r="D12" s="76"/>
      <c r="E12" s="76"/>
      <c r="F12" s="76"/>
      <c r="G12" s="76"/>
    </row>
    <row r="14" spans="2:7" x14ac:dyDescent="0.25">
      <c r="B14" s="66" t="s">
        <v>183</v>
      </c>
      <c r="C14" s="67"/>
    </row>
    <row r="15" spans="2:7" ht="45" customHeight="1" x14ac:dyDescent="0.25">
      <c r="B15" s="76" t="s">
        <v>184</v>
      </c>
      <c r="C15" s="76"/>
      <c r="D15" s="76"/>
      <c r="E15" s="76"/>
      <c r="F15" s="76"/>
      <c r="G15" s="76"/>
    </row>
    <row r="16" spans="2:7" ht="28.2" customHeight="1" x14ac:dyDescent="0.25">
      <c r="B16" s="77" t="s">
        <v>185</v>
      </c>
      <c r="C16" s="77"/>
      <c r="D16" s="77"/>
      <c r="E16" s="77"/>
      <c r="F16" s="77"/>
      <c r="G16" s="77"/>
    </row>
    <row r="17" spans="2:7" x14ac:dyDescent="0.25">
      <c r="B17" s="77" t="s">
        <v>186</v>
      </c>
      <c r="C17" s="77"/>
      <c r="D17" s="77"/>
      <c r="E17" s="77"/>
      <c r="F17" s="77"/>
      <c r="G17" s="77"/>
    </row>
    <row r="18" spans="2:7" x14ac:dyDescent="0.25">
      <c r="B18" s="55" t="s">
        <v>187</v>
      </c>
    </row>
    <row r="20" spans="2:7" x14ac:dyDescent="0.25">
      <c r="B20" s="66" t="s">
        <v>188</v>
      </c>
      <c r="C20" s="67"/>
    </row>
    <row r="21" spans="2:7" x14ac:dyDescent="0.25">
      <c r="B21" t="s">
        <v>189</v>
      </c>
    </row>
    <row r="22" spans="2:7" x14ac:dyDescent="0.25">
      <c r="B22" s="55" t="s">
        <v>190</v>
      </c>
    </row>
    <row r="23" spans="2:7" x14ac:dyDescent="0.25">
      <c r="B23" s="55" t="s">
        <v>191</v>
      </c>
    </row>
    <row r="24" spans="2:7" x14ac:dyDescent="0.25">
      <c r="B24" s="55" t="s">
        <v>192</v>
      </c>
    </row>
    <row r="25" spans="2:7" x14ac:dyDescent="0.25">
      <c r="B25" t="s">
        <v>193</v>
      </c>
    </row>
    <row r="26" spans="2:7" x14ac:dyDescent="0.25">
      <c r="B26" s="77" t="s">
        <v>194</v>
      </c>
      <c r="C26" s="77"/>
      <c r="D26" s="77"/>
      <c r="E26" s="77"/>
      <c r="F26" s="77"/>
      <c r="G26" s="77"/>
    </row>
    <row r="27" spans="2:7" x14ac:dyDescent="0.25">
      <c r="B27" s="55" t="s">
        <v>195</v>
      </c>
    </row>
    <row r="29" spans="2:7" x14ac:dyDescent="0.25">
      <c r="B29" s="66" t="s">
        <v>196</v>
      </c>
      <c r="C29" s="67"/>
    </row>
    <row r="30" spans="2:7" x14ac:dyDescent="0.25">
      <c r="B30" s="76" t="s">
        <v>197</v>
      </c>
      <c r="C30" s="76"/>
      <c r="D30" s="76"/>
      <c r="E30" s="76"/>
      <c r="F30" s="76"/>
      <c r="G30" s="76"/>
    </row>
    <row r="32" spans="2:7" x14ac:dyDescent="0.25">
      <c r="B32" s="64" t="s">
        <v>200</v>
      </c>
      <c r="C32" s="64"/>
      <c r="D32" s="64"/>
      <c r="E32" s="64"/>
      <c r="F32" s="64"/>
      <c r="G32" s="64"/>
    </row>
    <row r="33" spans="2:7" ht="14.4" thickBot="1" x14ac:dyDescent="0.3"/>
    <row r="34" spans="2:7" ht="23.4" customHeight="1" thickBot="1" x14ac:dyDescent="0.3">
      <c r="B34" s="40" t="s">
        <v>139</v>
      </c>
      <c r="C34" s="41" t="s">
        <v>154</v>
      </c>
      <c r="D34" s="41" t="s">
        <v>124</v>
      </c>
      <c r="E34" s="41" t="s">
        <v>167</v>
      </c>
      <c r="F34" s="41" t="s">
        <v>151</v>
      </c>
      <c r="G34" s="42" t="s">
        <v>168</v>
      </c>
    </row>
    <row r="35" spans="2:7" ht="15" thickBot="1" x14ac:dyDescent="0.35">
      <c r="B35" s="43" t="s">
        <v>140</v>
      </c>
      <c r="C35" s="44" t="s">
        <v>141</v>
      </c>
      <c r="D35" s="44"/>
      <c r="E35" s="44"/>
      <c r="F35" s="44"/>
      <c r="G35" s="45">
        <f>SUM(G36:G40)</f>
        <v>83640</v>
      </c>
    </row>
    <row r="36" spans="2:7" ht="15" thickTop="1" x14ac:dyDescent="0.3">
      <c r="B36" s="49">
        <v>1</v>
      </c>
      <c r="C36" s="50" t="s">
        <v>169</v>
      </c>
      <c r="D36" s="50" t="s">
        <v>127</v>
      </c>
      <c r="E36" s="50">
        <v>3</v>
      </c>
      <c r="F36" s="50">
        <v>1000</v>
      </c>
      <c r="G36" s="51">
        <v>3000</v>
      </c>
    </row>
    <row r="37" spans="2:7" ht="14.4" x14ac:dyDescent="0.3">
      <c r="B37" s="52">
        <v>2</v>
      </c>
      <c r="C37" s="53" t="s">
        <v>170</v>
      </c>
      <c r="D37" s="53" t="s">
        <v>128</v>
      </c>
      <c r="E37" s="53">
        <v>2</v>
      </c>
      <c r="F37" s="53">
        <v>5200</v>
      </c>
      <c r="G37" s="54">
        <v>10400</v>
      </c>
    </row>
    <row r="38" spans="2:7" ht="14.4" customHeight="1" x14ac:dyDescent="0.3">
      <c r="B38" s="52">
        <v>3</v>
      </c>
      <c r="C38" s="53" t="s">
        <v>142</v>
      </c>
      <c r="D38" s="53" t="s">
        <v>128</v>
      </c>
      <c r="E38" s="53">
        <v>8</v>
      </c>
      <c r="F38" s="53">
        <v>280</v>
      </c>
      <c r="G38" s="54">
        <v>2240</v>
      </c>
    </row>
    <row r="39" spans="2:7" ht="14.4" customHeight="1" x14ac:dyDescent="0.3">
      <c r="B39" s="52">
        <v>4</v>
      </c>
      <c r="C39" s="53" t="s">
        <v>171</v>
      </c>
      <c r="D39" s="53" t="s">
        <v>128</v>
      </c>
      <c r="E39" s="53">
        <v>2</v>
      </c>
      <c r="F39" s="53">
        <v>15500</v>
      </c>
      <c r="G39" s="54">
        <v>31000</v>
      </c>
    </row>
    <row r="40" spans="2:7" ht="14.4" customHeight="1" x14ac:dyDescent="0.3">
      <c r="B40" s="52">
        <v>5</v>
      </c>
      <c r="C40" s="53" t="s">
        <v>156</v>
      </c>
      <c r="D40" s="53" t="s">
        <v>128</v>
      </c>
      <c r="E40" s="53">
        <v>2</v>
      </c>
      <c r="F40" s="53">
        <v>18500</v>
      </c>
      <c r="G40" s="54">
        <v>37000</v>
      </c>
    </row>
    <row r="41" spans="2:7" ht="14.4" customHeight="1" thickBot="1" x14ac:dyDescent="0.35">
      <c r="B41" s="43" t="s">
        <v>143</v>
      </c>
      <c r="C41" s="44" t="s">
        <v>144</v>
      </c>
      <c r="D41" s="44"/>
      <c r="E41" s="44"/>
      <c r="F41" s="44"/>
      <c r="G41" s="45">
        <f>SUM(G42:G47)</f>
        <v>274780</v>
      </c>
    </row>
    <row r="42" spans="2:7" ht="14.4" customHeight="1" thickTop="1" x14ac:dyDescent="0.3">
      <c r="B42" s="49">
        <v>6</v>
      </c>
      <c r="C42" s="50" t="s">
        <v>172</v>
      </c>
      <c r="D42" s="50" t="s">
        <v>130</v>
      </c>
      <c r="E42" s="50">
        <v>120</v>
      </c>
      <c r="F42" s="50">
        <v>820</v>
      </c>
      <c r="G42" s="51">
        <v>98400</v>
      </c>
    </row>
    <row r="43" spans="2:7" ht="14.4" customHeight="1" x14ac:dyDescent="0.3">
      <c r="B43" s="46">
        <v>7</v>
      </c>
      <c r="C43" s="47" t="s">
        <v>173</v>
      </c>
      <c r="D43" s="47" t="s">
        <v>130</v>
      </c>
      <c r="E43" s="47">
        <v>480</v>
      </c>
      <c r="F43" s="47">
        <v>350</v>
      </c>
      <c r="G43" s="48">
        <v>168000</v>
      </c>
    </row>
    <row r="44" spans="2:7" ht="14.4" customHeight="1" x14ac:dyDescent="0.3">
      <c r="B44" s="52">
        <v>8</v>
      </c>
      <c r="C44" s="53" t="s">
        <v>153</v>
      </c>
      <c r="D44" s="53" t="s">
        <v>128</v>
      </c>
      <c r="E44" s="53">
        <v>2</v>
      </c>
      <c r="F44" s="53">
        <v>700</v>
      </c>
      <c r="G44" s="54">
        <v>1400</v>
      </c>
    </row>
    <row r="45" spans="2:7" ht="14.4" customHeight="1" x14ac:dyDescent="0.3">
      <c r="B45" s="52">
        <v>9</v>
      </c>
      <c r="C45" s="53" t="s">
        <v>152</v>
      </c>
      <c r="D45" s="53" t="s">
        <v>128</v>
      </c>
      <c r="E45" s="53">
        <v>8</v>
      </c>
      <c r="F45" s="53">
        <v>260</v>
      </c>
      <c r="G45" s="54">
        <v>2080</v>
      </c>
    </row>
    <row r="46" spans="2:7" ht="14.4" customHeight="1" x14ac:dyDescent="0.3">
      <c r="B46" s="52">
        <v>10</v>
      </c>
      <c r="C46" s="53" t="s">
        <v>174</v>
      </c>
      <c r="D46" s="53" t="s">
        <v>128</v>
      </c>
      <c r="E46" s="53">
        <v>2</v>
      </c>
      <c r="F46" s="53">
        <v>650</v>
      </c>
      <c r="G46" s="54">
        <v>1300</v>
      </c>
    </row>
    <row r="47" spans="2:7" ht="14.4" customHeight="1" x14ac:dyDescent="0.3">
      <c r="B47" s="52">
        <v>11</v>
      </c>
      <c r="C47" s="53" t="s">
        <v>175</v>
      </c>
      <c r="D47" s="53" t="s">
        <v>128</v>
      </c>
      <c r="E47" s="53">
        <v>10</v>
      </c>
      <c r="F47" s="53">
        <v>360</v>
      </c>
      <c r="G47" s="54">
        <v>3600</v>
      </c>
    </row>
    <row r="48" spans="2:7" ht="14.4" customHeight="1" thickBot="1" x14ac:dyDescent="0.35">
      <c r="B48" s="43" t="s">
        <v>145</v>
      </c>
      <c r="C48" s="44" t="s">
        <v>146</v>
      </c>
      <c r="D48" s="44"/>
      <c r="E48" s="44"/>
      <c r="F48" s="44"/>
      <c r="G48" s="45">
        <f>SUM(G49:G52)</f>
        <v>91250</v>
      </c>
    </row>
    <row r="49" spans="2:7" ht="14.4" customHeight="1" thickTop="1" x14ac:dyDescent="0.3">
      <c r="B49" s="49">
        <v>12</v>
      </c>
      <c r="C49" s="50" t="s">
        <v>176</v>
      </c>
      <c r="D49" s="50" t="s">
        <v>159</v>
      </c>
      <c r="E49" s="50">
        <v>17</v>
      </c>
      <c r="F49" s="50">
        <v>1250</v>
      </c>
      <c r="G49" s="51">
        <v>21250</v>
      </c>
    </row>
    <row r="50" spans="2:7" ht="14.4" customHeight="1" x14ac:dyDescent="0.3">
      <c r="B50" s="52">
        <v>13</v>
      </c>
      <c r="C50" s="53" t="s">
        <v>177</v>
      </c>
      <c r="D50" s="53" t="s">
        <v>128</v>
      </c>
      <c r="E50" s="53">
        <v>4000</v>
      </c>
      <c r="F50" s="53">
        <v>14</v>
      </c>
      <c r="G50" s="54">
        <v>56000</v>
      </c>
    </row>
    <row r="51" spans="2:7" ht="14.4" customHeight="1" x14ac:dyDescent="0.3">
      <c r="B51" s="52">
        <v>14</v>
      </c>
      <c r="C51" s="53" t="s">
        <v>158</v>
      </c>
      <c r="D51" s="53" t="s">
        <v>128</v>
      </c>
      <c r="E51" s="53">
        <v>400</v>
      </c>
      <c r="F51" s="53">
        <v>19</v>
      </c>
      <c r="G51" s="54">
        <v>7600</v>
      </c>
    </row>
    <row r="52" spans="2:7" ht="14.4" customHeight="1" x14ac:dyDescent="0.3">
      <c r="B52" s="52">
        <v>15</v>
      </c>
      <c r="C52" s="53" t="s">
        <v>157</v>
      </c>
      <c r="D52" s="53" t="s">
        <v>128</v>
      </c>
      <c r="E52" s="53">
        <v>400</v>
      </c>
      <c r="F52" s="53">
        <v>16</v>
      </c>
      <c r="G52" s="54">
        <v>6400</v>
      </c>
    </row>
    <row r="53" spans="2:7" ht="14.4" customHeight="1" thickBot="1" x14ac:dyDescent="0.35">
      <c r="B53" s="43" t="s">
        <v>147</v>
      </c>
      <c r="C53" s="44" t="s">
        <v>148</v>
      </c>
      <c r="D53" s="44"/>
      <c r="E53" s="44"/>
      <c r="F53" s="44"/>
      <c r="G53" s="45">
        <f>SUM(G54:G55)</f>
        <v>10000</v>
      </c>
    </row>
    <row r="54" spans="2:7" ht="14.4" customHeight="1" thickTop="1" x14ac:dyDescent="0.3">
      <c r="B54" s="49">
        <v>16</v>
      </c>
      <c r="C54" s="50" t="s">
        <v>178</v>
      </c>
      <c r="D54" s="50" t="s">
        <v>128</v>
      </c>
      <c r="E54" s="50">
        <v>2</v>
      </c>
      <c r="F54" s="50">
        <v>2600</v>
      </c>
      <c r="G54" s="51">
        <v>5200</v>
      </c>
    </row>
    <row r="55" spans="2:7" ht="14.4" customHeight="1" thickBot="1" x14ac:dyDescent="0.35">
      <c r="B55" s="37">
        <v>17</v>
      </c>
      <c r="C55" s="38" t="s">
        <v>179</v>
      </c>
      <c r="D55" s="38" t="s">
        <v>128</v>
      </c>
      <c r="E55" s="38">
        <v>2</v>
      </c>
      <c r="F55" s="38">
        <v>2400</v>
      </c>
      <c r="G55" s="39">
        <v>4800</v>
      </c>
    </row>
    <row r="56" spans="2:7" ht="19.8" customHeight="1" thickBot="1" x14ac:dyDescent="0.3">
      <c r="B56" s="80" t="s">
        <v>168</v>
      </c>
      <c r="C56" s="81"/>
      <c r="D56" s="81"/>
      <c r="E56" s="81"/>
      <c r="F56" s="81"/>
      <c r="G56" s="68">
        <f>SUM(G53,G48,G41,G35)</f>
        <v>459670</v>
      </c>
    </row>
    <row r="57" spans="2:7" ht="14.4" thickTop="1" x14ac:dyDescent="0.25"/>
  </sheetData>
  <mergeCells count="9">
    <mergeCell ref="B30:G30"/>
    <mergeCell ref="B26:G26"/>
    <mergeCell ref="B2:G2"/>
    <mergeCell ref="B9:F9"/>
    <mergeCell ref="B56:F56"/>
    <mergeCell ref="B12:G12"/>
    <mergeCell ref="B15:G15"/>
    <mergeCell ref="B16:G16"/>
    <mergeCell ref="B17:G17"/>
  </mergeCells>
  <printOptions horizontalCentered="1"/>
  <pageMargins left="0.19685039370078741" right="0.19685039370078741" top="0.39370078740157483" bottom="0" header="0.31496062992125984" footer="0.31496062992125984"/>
  <pageSetup paperSize="13" orientation="portrait" r:id="rId1"/>
  <headerFooter>
    <oddFooter>&amp;L&amp;P&amp;R&amp;D&amp;T</oddFooter>
  </headerFooter>
  <rowBreaks count="1" manualBreakCount="1">
    <brk id="30" max="16383" man="1"/>
  </rowBreaks>
  <colBreaks count="1" manualBreakCount="1">
    <brk id="7"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EEA4A-7C3B-4604-A8CB-9AA197B4A71A}">
  <dimension ref="A1:C2"/>
  <sheetViews>
    <sheetView workbookViewId="0">
      <selection activeCell="A5" sqref="A5"/>
    </sheetView>
  </sheetViews>
  <sheetFormatPr defaultRowHeight="13.8" x14ac:dyDescent="0.25"/>
  <cols>
    <col min="1" max="1" width="58.59765625" bestFit="1" customWidth="1"/>
    <col min="2" max="2" width="9.69921875" bestFit="1" customWidth="1"/>
    <col min="3" max="3" width="10.8984375" hidden="1" customWidth="1"/>
    <col min="4" max="4" width="9.69921875" bestFit="1" customWidth="1"/>
    <col min="5" max="5" width="10.69921875" bestFit="1" customWidth="1"/>
  </cols>
  <sheetData>
    <row r="1" spans="1:2" x14ac:dyDescent="0.25">
      <c r="A1" t="e" vm="1">
        <v>#VALUE!</v>
      </c>
      <c r="B1" s="69" cm="1">
        <f t="array" ref="B1">_FV(A1,"Price")</f>
        <v>236.09</v>
      </c>
    </row>
    <row r="2" spans="1:2" x14ac:dyDescent="0.25">
      <c r="A2" t="e" vm="2">
        <v>#VALUE!</v>
      </c>
      <c r="B2" s="70" cm="1">
        <f t="array" ref="B2">_FV(A2,"Price")</f>
        <v>9.83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A1724-2599-462A-8405-D6354DD63EAA}">
  <dimension ref="A2:G6"/>
  <sheetViews>
    <sheetView rightToLeft="1" workbookViewId="0">
      <selection activeCell="A2" sqref="A2:G6"/>
    </sheetView>
  </sheetViews>
  <sheetFormatPr defaultRowHeight="13.8" x14ac:dyDescent="0.25"/>
  <cols>
    <col min="1" max="1" width="4.5" customWidth="1"/>
    <col min="2" max="2" width="25.59765625" bestFit="1" customWidth="1"/>
    <col min="7" max="7" width="59.8984375" customWidth="1"/>
  </cols>
  <sheetData>
    <row r="2" spans="1:7" x14ac:dyDescent="0.25">
      <c r="A2" s="33">
        <v>1</v>
      </c>
      <c r="B2" s="33" t="s">
        <v>201</v>
      </c>
      <c r="C2" s="33">
        <v>35000</v>
      </c>
      <c r="D2" s="33">
        <v>20000</v>
      </c>
      <c r="E2" s="71">
        <f>(D2/C2)</f>
        <v>0.5714285714285714</v>
      </c>
      <c r="F2" s="33" t="s">
        <v>207</v>
      </c>
      <c r="G2" s="72" t="s">
        <v>210</v>
      </c>
    </row>
    <row r="3" spans="1:7" ht="31.8" customHeight="1" x14ac:dyDescent="0.25">
      <c r="A3" s="33">
        <v>2</v>
      </c>
      <c r="B3" s="33" t="s">
        <v>202</v>
      </c>
      <c r="C3" s="33">
        <v>70000</v>
      </c>
      <c r="D3" s="33">
        <v>70000</v>
      </c>
      <c r="E3" s="71">
        <f t="shared" ref="E3:E6" si="0">(D3/C3)</f>
        <v>1</v>
      </c>
      <c r="F3" s="73" t="s">
        <v>208</v>
      </c>
      <c r="G3" s="33" t="s">
        <v>211</v>
      </c>
    </row>
    <row r="4" spans="1:7" ht="96.6" x14ac:dyDescent="0.25">
      <c r="A4" s="33">
        <v>3</v>
      </c>
      <c r="B4" s="73" t="s">
        <v>203</v>
      </c>
      <c r="C4" s="33">
        <f>2*10410</f>
        <v>20820</v>
      </c>
      <c r="D4" s="33">
        <v>20820</v>
      </c>
      <c r="E4" s="71">
        <f t="shared" si="0"/>
        <v>1</v>
      </c>
      <c r="F4" s="33" t="s">
        <v>205</v>
      </c>
      <c r="G4" s="73" t="s">
        <v>209</v>
      </c>
    </row>
    <row r="5" spans="1:7" x14ac:dyDescent="0.25">
      <c r="A5" s="33">
        <v>4</v>
      </c>
      <c r="B5" s="33" t="s">
        <v>204</v>
      </c>
      <c r="C5" s="33">
        <v>255000</v>
      </c>
      <c r="D5" s="33">
        <v>0</v>
      </c>
      <c r="E5" s="71">
        <f t="shared" si="0"/>
        <v>0</v>
      </c>
      <c r="F5" s="33" t="s">
        <v>206</v>
      </c>
      <c r="G5" s="33" t="s">
        <v>212</v>
      </c>
    </row>
    <row r="6" spans="1:7" x14ac:dyDescent="0.25">
      <c r="A6" s="33">
        <v>5</v>
      </c>
      <c r="B6" s="33" t="s">
        <v>199</v>
      </c>
      <c r="C6" s="33">
        <v>100000</v>
      </c>
      <c r="D6" s="33">
        <v>10000</v>
      </c>
      <c r="E6" s="71">
        <f t="shared" si="0"/>
        <v>0.1</v>
      </c>
      <c r="F6" s="33" t="s">
        <v>207</v>
      </c>
      <c r="G6" s="33" t="s">
        <v>210</v>
      </c>
    </row>
  </sheetData>
  <hyperlinks>
    <hyperlink ref="G2" r:id="rId1" xr:uid="{F73EF56B-2BC6-4952-847B-578FA534D568}"/>
  </hyperlinks>
  <printOptions horizontalCentered="1" verticalCentered="1"/>
  <pageMargins left="0.70866141732283472" right="0.70866141732283472" top="0.74803149606299213" bottom="0.74803149606299213" header="0.31496062992125984" footer="0.31496062992125984"/>
  <pageSetup paperSize="9" orientation="landscape"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3BA7054-D90E-48A8-AA26-8CE730E12C7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BoQ</vt:lpstr>
      <vt:lpstr>Sheet4</vt:lpstr>
      <vt:lpstr>Assumptions</vt:lpstr>
      <vt:lpstr>Sheet1</vt:lpstr>
      <vt:lpstr>Maintenance Checklist</vt:lpstr>
      <vt:lpstr>Sheet2</vt:lpstr>
      <vt:lpstr>Sheet3</vt:lpstr>
      <vt:lpstr>Sheet5</vt:lpstr>
      <vt:lpstr>BoQ!Print_Area</vt:lpstr>
      <vt:lpstr>Sheet2!Print_Area</vt:lpstr>
      <vt:lpstr>Sheet5!Print_Area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Ahmed_ElShennawy</cp:lastModifiedBy>
  <cp:lastPrinted>2026-02-01T08:40:37Z</cp:lastPrinted>
  <dcterms:created xsi:type="dcterms:W3CDTF">2025-11-11T01:05:12Z</dcterms:created>
  <dcterms:modified xsi:type="dcterms:W3CDTF">2026-04-11T18:29:56Z</dcterms:modified>
</cp:coreProperties>
</file>