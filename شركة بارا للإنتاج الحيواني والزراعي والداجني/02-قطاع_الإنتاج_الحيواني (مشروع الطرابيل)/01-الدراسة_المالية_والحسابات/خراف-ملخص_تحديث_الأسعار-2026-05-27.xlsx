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Update" sheetId="1" state="visible" r:id="rId1"/>
    <sheet xmlns:r="http://schemas.openxmlformats.org/officeDocument/2006/relationships" name="Investor Summa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Quote Needed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Updated Cashflow" sheetId="6" state="visible" r:id="rId6"/>
    <sheet xmlns:r="http://schemas.openxmlformats.org/officeDocument/2006/relationships" name="First Cycle Re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جنيه&quot;"/>
    <numFmt numFmtId="165" formatCode="0.0%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7" customWidth="1" min="3" max="3"/>
    <col width="15" customWidth="1" min="4" max="4"/>
    <col width="25" customWidth="1" min="5" max="5"/>
    <col width="14" customWidth="1" min="6" max="6"/>
    <col width="21" customWidth="1" min="7" max="7"/>
    <col width="17" customWidth="1" min="8" max="8"/>
    <col width="24" customWidth="1" min="9" max="9"/>
    <col width="14" customWidth="1" min="10" max="10"/>
    <col width="14" customWidth="1" min="11" max="11"/>
    <col width="40" customWidth="1" min="12" max="12"/>
    <col width="52" customWidth="1" min="13" max="13"/>
  </cols>
  <sheetData>
    <row r="1">
      <c r="A1" s="1" t="inlineStr">
        <is>
          <t>البند</t>
        </is>
      </c>
      <c r="B1" s="1" t="inlineStr">
        <is>
          <t>الفئة</t>
        </is>
      </c>
      <c r="C1" s="1" t="inlineStr">
        <is>
          <t>سعر سبتمبر 2025</t>
        </is>
      </c>
      <c r="D1" s="1" t="inlineStr">
        <is>
          <t>معامل التحديث</t>
        </is>
      </c>
      <c r="E1" s="1" t="inlineStr">
        <is>
          <t>السعر المحدث 20-05-2026</t>
        </is>
      </c>
      <c r="F1" s="1" t="inlineStr">
        <is>
          <t>فرق القيمة</t>
        </is>
      </c>
      <c r="G1" s="1" t="inlineStr">
        <is>
          <t>نسبة الزيادة</t>
        </is>
      </c>
      <c r="H1" s="1" t="inlineStr">
        <is>
          <t>احتياطي المخاطر</t>
        </is>
      </c>
      <c r="I1" s="1" t="inlineStr">
        <is>
          <t>السعر الآمن بالاحتياطي</t>
        </is>
      </c>
      <c r="J1" s="1" t="inlineStr">
        <is>
          <t>نطاق منخفض</t>
        </is>
      </c>
      <c r="K1" s="1" t="inlineStr">
        <is>
          <t>نطاق مرتفع</t>
        </is>
      </c>
      <c r="L1" s="1" t="inlineStr">
        <is>
          <t>أساس التسعير</t>
        </is>
      </c>
      <c r="M1" s="1" t="inlineStr">
        <is>
          <t>المصدر/الملاحظة</t>
        </is>
      </c>
    </row>
    <row r="2">
      <c r="A2" s="2" t="inlineStr">
        <is>
          <t>عنابر التربية</t>
        </is>
      </c>
      <c r="B2" s="2" t="inlineStr">
        <is>
          <t>هياكل وعنابر</t>
        </is>
      </c>
      <c r="C2" s="3" t="n">
        <v>2182020</v>
      </c>
      <c r="D2" s="4" t="n">
        <v>1.22</v>
      </c>
      <c r="E2" s="3" t="n">
        <v>2662064</v>
      </c>
      <c r="F2" s="3" t="n">
        <v>480044</v>
      </c>
      <c r="G2" s="4" t="n">
        <v>0.2199998166836234</v>
      </c>
      <c r="H2" s="4" t="n">
        <v>0.1</v>
      </c>
      <c r="I2" s="3" t="n">
        <v>2928270</v>
      </c>
      <c r="J2" s="3" t="n">
        <v>2528961</v>
      </c>
      <c r="K2" s="3" t="n">
        <v>3074684</v>
      </c>
      <c r="L2" s="2" t="inlineStr">
        <is>
          <t>حديد/قطاعات/تصنيع/تركيب</t>
        </is>
      </c>
      <c r="M2" s="2" t="inlineStr">
        <is>
          <t>وزارة الإسكان نشرة 2026 + أسعار الحديد 19 مايو 2026 + BOM/BOQ</t>
        </is>
      </c>
    </row>
    <row r="3">
      <c r="A3" s="2" t="inlineStr">
        <is>
          <t>الحجر البيطري وغرف العزل</t>
        </is>
      </c>
      <c r="B3" s="2" t="inlineStr">
        <is>
          <t>إنشاءات صحية/عزل</t>
        </is>
      </c>
      <c r="C3" s="3" t="n">
        <v>147000</v>
      </c>
      <c r="D3" s="4" t="n">
        <v>1.18</v>
      </c>
      <c r="E3" s="3" t="n">
        <v>173460</v>
      </c>
      <c r="F3" s="3" t="n">
        <v>26460</v>
      </c>
      <c r="G3" s="4" t="n">
        <v>0.18</v>
      </c>
      <c r="H3" s="4" t="n">
        <v>0.1</v>
      </c>
      <c r="I3" s="3" t="n">
        <v>190806</v>
      </c>
      <c r="J3" s="3" t="n">
        <v>164787</v>
      </c>
      <c r="K3" s="3" t="n">
        <v>200346</v>
      </c>
      <c r="L3" s="2" t="inlineStr">
        <is>
          <t>مبان خفيفة وتشطيبات وتجهيز أولي</t>
        </is>
      </c>
      <c r="M3" s="2" t="inlineStr">
        <is>
          <t>تقدير سوقي من مواد بناء + هامش تنفيذ</t>
        </is>
      </c>
    </row>
    <row r="4">
      <c r="A4" s="2" t="inlineStr">
        <is>
          <t>ابار تخمير الكومبوست</t>
        </is>
      </c>
      <c r="B4" s="2" t="inlineStr">
        <is>
          <t>أعمال مدنية</t>
        </is>
      </c>
      <c r="C4" s="3" t="n">
        <v>84000</v>
      </c>
      <c r="D4" s="4" t="n">
        <v>1.15</v>
      </c>
      <c r="E4" s="3" t="n">
        <v>96600</v>
      </c>
      <c r="F4" s="3" t="n">
        <v>12600</v>
      </c>
      <c r="G4" s="4" t="n">
        <v>0.15</v>
      </c>
      <c r="H4" s="4" t="n">
        <v>0.1</v>
      </c>
      <c r="I4" s="3" t="n">
        <v>106260</v>
      </c>
      <c r="J4" s="3" t="n">
        <v>91770</v>
      </c>
      <c r="K4" s="3" t="n">
        <v>111573</v>
      </c>
      <c r="L4" s="2" t="inlineStr">
        <is>
          <t>حفر/خرسانة/مونة/عمالة</t>
        </is>
      </c>
      <c r="M4" s="2" t="inlineStr">
        <is>
          <t>نشرة مواد البناء: رمل/زلط/أسمنت + تقدير عمالة</t>
        </is>
      </c>
    </row>
    <row r="5">
      <c r="A5" s="2" t="inlineStr">
        <is>
          <t>حواجز الحظائر وخطوط الأعلاف</t>
        </is>
      </c>
      <c r="B5" s="2" t="inlineStr">
        <is>
          <t>تصنيع خاص</t>
        </is>
      </c>
      <c r="C5" s="3" t="n">
        <v>259500</v>
      </c>
      <c r="D5" s="4" t="n">
        <v>1.25</v>
      </c>
      <c r="E5" s="3" t="n">
        <v>324375</v>
      </c>
      <c r="F5" s="3" t="n">
        <v>64875</v>
      </c>
      <c r="G5" s="4" t="n">
        <v>0.25</v>
      </c>
      <c r="H5" s="4" t="n">
        <v>0.2</v>
      </c>
      <c r="I5" s="3" t="n">
        <v>389250</v>
      </c>
      <c r="J5" s="3" t="n">
        <v>308156</v>
      </c>
      <c r="K5" s="3" t="n">
        <v>408712</v>
      </c>
      <c r="L5" s="2" t="inlineStr">
        <is>
          <t>حديد خفيف/تصنيع/تثبيت/خطوط علف</t>
        </is>
      </c>
      <c r="M5" s="2" t="inlineStr">
        <is>
          <t>BOM steel + أسعار الحديد + يحتاج عرض مصنع</t>
        </is>
      </c>
    </row>
    <row r="6">
      <c r="A6" s="2" t="inlineStr">
        <is>
          <t>شبكات الصرف وتجفيف أرضيات العنابر</t>
        </is>
      </c>
      <c r="B6" s="2" t="inlineStr">
        <is>
          <t>صرف وأرضيات</t>
        </is>
      </c>
      <c r="C6" s="3" t="n">
        <v>147000</v>
      </c>
      <c r="D6" s="4" t="n">
        <v>1.18</v>
      </c>
      <c r="E6" s="3" t="n">
        <v>173460</v>
      </c>
      <c r="F6" s="3" t="n">
        <v>26460</v>
      </c>
      <c r="G6" s="4" t="n">
        <v>0.18</v>
      </c>
      <c r="H6" s="4" t="n">
        <v>0.1</v>
      </c>
      <c r="I6" s="3" t="n">
        <v>190806</v>
      </c>
      <c r="J6" s="3" t="n">
        <v>164787</v>
      </c>
      <c r="K6" s="3" t="n">
        <v>200346</v>
      </c>
      <c r="L6" s="2" t="inlineStr">
        <is>
          <t>خرسانة/مواسير/ميول/عمالة</t>
        </is>
      </c>
      <c r="M6" s="2" t="inlineStr">
        <is>
          <t>نشرة مواد البناء + تقدير مواسير وصرف</t>
        </is>
      </c>
    </row>
    <row r="7">
      <c r="A7" s="2" t="inlineStr">
        <is>
          <t>خط تغذية التيار ولوحة التوزيع</t>
        </is>
      </c>
      <c r="B7" s="2" t="inlineStr">
        <is>
          <t>كهرباء</t>
        </is>
      </c>
      <c r="C7" s="3" t="n">
        <v>95000</v>
      </c>
      <c r="D7" s="4" t="n">
        <v>1.2</v>
      </c>
      <c r="E7" s="3" t="n">
        <v>114000</v>
      </c>
      <c r="F7" s="3" t="n">
        <v>19000</v>
      </c>
      <c r="G7" s="4" t="n">
        <v>0.2</v>
      </c>
      <c r="H7" s="4" t="n">
        <v>0.1</v>
      </c>
      <c r="I7" s="3" t="n">
        <v>125400</v>
      </c>
      <c r="J7" s="3" t="n">
        <v>108300</v>
      </c>
      <c r="K7" s="3" t="n">
        <v>131670</v>
      </c>
      <c r="L7" s="2" t="inlineStr">
        <is>
          <t>كابلات/لوحة/قواطع/تركيب</t>
        </is>
      </c>
      <c r="M7" s="2" t="inlineStr">
        <is>
          <t>نشرة مواد البناء: أسلاك وكابلات + تقدير مقاول كهرباء</t>
        </is>
      </c>
    </row>
    <row r="8">
      <c r="A8" s="2" t="inlineStr">
        <is>
          <t>الإنارة والكاميرات وأنظمة التحكم</t>
        </is>
      </c>
      <c r="B8" s="2" t="inlineStr">
        <is>
          <t>كهرباء وتحكم</t>
        </is>
      </c>
      <c r="C8" s="3" t="n">
        <v>55000</v>
      </c>
      <c r="D8" s="4" t="n">
        <v>1.15</v>
      </c>
      <c r="E8" s="3" t="n">
        <v>63250</v>
      </c>
      <c r="F8" s="3" t="n">
        <v>8250</v>
      </c>
      <c r="G8" s="4" t="n">
        <v>0.15</v>
      </c>
      <c r="H8" s="4" t="n">
        <v>0.15</v>
      </c>
      <c r="I8" s="3" t="n">
        <v>72738</v>
      </c>
      <c r="J8" s="3" t="n">
        <v>60088</v>
      </c>
      <c r="K8" s="3" t="n">
        <v>76375</v>
      </c>
      <c r="L8" s="2" t="inlineStr">
        <is>
          <t>كشافات/كاميرات/NVR/تمديدات</t>
        </is>
      </c>
      <c r="M8" s="2" t="inlineStr">
        <is>
          <t>تقدير سوقي سريع + يحتاج عرض مورد</t>
        </is>
      </c>
    </row>
    <row r="9">
      <c r="A9" s="2" t="inlineStr">
        <is>
          <t>بلتات تخزين قش الرز</t>
        </is>
      </c>
      <c r="B9" s="2" t="inlineStr">
        <is>
          <t>مخازن وأعلاف</t>
        </is>
      </c>
      <c r="C9" s="3" t="n">
        <v>52500</v>
      </c>
      <c r="D9" s="4" t="n">
        <v>1.2</v>
      </c>
      <c r="E9" s="3" t="n">
        <v>63000</v>
      </c>
      <c r="F9" s="3" t="n">
        <v>10500</v>
      </c>
      <c r="G9" s="4" t="n">
        <v>0.2</v>
      </c>
      <c r="H9" s="4" t="n">
        <v>0.2</v>
      </c>
      <c r="I9" s="3" t="n">
        <v>75600</v>
      </c>
      <c r="J9" s="3" t="n">
        <v>59850</v>
      </c>
      <c r="K9" s="3" t="n">
        <v>79380</v>
      </c>
      <c r="L9" s="2" t="inlineStr">
        <is>
          <t>بلتات/حوامل/تجهيز تخزين</t>
        </is>
      </c>
      <c r="M9" s="2" t="inlineStr">
        <is>
          <t>تقدير سوقي سريع + يحتاج عرض مورد</t>
        </is>
      </c>
    </row>
    <row r="10">
      <c r="A10" s="2" t="inlineStr">
        <is>
          <t>الخزانات ونظام توزيع مياه الشرب</t>
        </is>
      </c>
      <c r="B10" s="2" t="inlineStr">
        <is>
          <t>مياه</t>
        </is>
      </c>
      <c r="C10" s="3" t="n">
        <v>100000</v>
      </c>
      <c r="D10" s="4" t="n">
        <v>1.15</v>
      </c>
      <c r="E10" s="3" t="n">
        <v>115000</v>
      </c>
      <c r="F10" s="3" t="n">
        <v>15000</v>
      </c>
      <c r="G10" s="4" t="n">
        <v>0.15</v>
      </c>
      <c r="H10" s="4" t="n">
        <v>0.1</v>
      </c>
      <c r="I10" s="3" t="n">
        <v>126500</v>
      </c>
      <c r="J10" s="3" t="n">
        <v>109250</v>
      </c>
      <c r="K10" s="3" t="n">
        <v>132825</v>
      </c>
      <c r="L10" s="2" t="inlineStr">
        <is>
          <t>8 خزانات 3000 لتر + محابس/عوامات/قواعد</t>
        </is>
      </c>
      <c r="M10" s="2" t="inlineStr">
        <is>
          <t>BOM_Water_System + سعر خزان 3000 لتر بناية</t>
        </is>
      </c>
    </row>
    <row r="11">
      <c r="A11" s="2" t="inlineStr">
        <is>
          <t>جرار زراعي 20 حصان</t>
        </is>
      </c>
      <c r="B11" s="2" t="inlineStr">
        <is>
          <t>معدات</t>
        </is>
      </c>
      <c r="C11" s="3" t="n">
        <v>250000</v>
      </c>
      <c r="D11" s="4" t="n">
        <v>1.15</v>
      </c>
      <c r="E11" s="3" t="n">
        <v>287500</v>
      </c>
      <c r="F11" s="3" t="n">
        <v>37500</v>
      </c>
      <c r="G11" s="4" t="n">
        <v>0.15</v>
      </c>
      <c r="H11" s="4" t="n">
        <v>0.15</v>
      </c>
      <c r="I11" s="3" t="n">
        <v>330625</v>
      </c>
      <c r="J11" s="3" t="n">
        <v>273125</v>
      </c>
      <c r="K11" s="3" t="n">
        <v>347156</v>
      </c>
      <c r="L11" s="2" t="inlineStr">
        <is>
          <t>جرار صغير/نقل داخلي وخدمة أعلاف</t>
        </is>
      </c>
      <c r="M11" s="2" t="inlineStr">
        <is>
          <t>تقدير معدات؛ يجب عرض مورد/حالة مستعمل أو جديد</t>
        </is>
      </c>
    </row>
    <row r="12">
      <c r="A12" s="2" t="inlineStr">
        <is>
          <t>مفرمة للقش</t>
        </is>
      </c>
      <c r="B12" s="2" t="inlineStr">
        <is>
          <t>معدات</t>
        </is>
      </c>
      <c r="C12" s="3" t="n">
        <v>60000</v>
      </c>
      <c r="D12" s="4" t="n">
        <v>1.18</v>
      </c>
      <c r="E12" s="3" t="n">
        <v>70800</v>
      </c>
      <c r="F12" s="3" t="n">
        <v>10800</v>
      </c>
      <c r="G12" s="4" t="n">
        <v>0.18</v>
      </c>
      <c r="H12" s="4" t="n">
        <v>0.15</v>
      </c>
      <c r="I12" s="3" t="n">
        <v>81420</v>
      </c>
      <c r="J12" s="3" t="n">
        <v>67260</v>
      </c>
      <c r="K12" s="3" t="n">
        <v>85491</v>
      </c>
      <c r="L12" s="2" t="inlineStr">
        <is>
          <t>مفرمة قش</t>
        </is>
      </c>
      <c r="M12" s="2" t="inlineStr">
        <is>
          <t>تقدير معدات؛ يجب عرض مورد</t>
        </is>
      </c>
    </row>
    <row r="13">
      <c r="A13" s="2" t="inlineStr">
        <is>
          <t>مقطورة للجرار</t>
        </is>
      </c>
      <c r="B13" s="2" t="inlineStr">
        <is>
          <t>معدات</t>
        </is>
      </c>
      <c r="C13" s="3" t="n">
        <v>80000</v>
      </c>
      <c r="D13" s="4" t="n">
        <v>1.2</v>
      </c>
      <c r="E13" s="3" t="n">
        <v>96000</v>
      </c>
      <c r="F13" s="3" t="n">
        <v>16000</v>
      </c>
      <c r="G13" s="4" t="n">
        <v>0.2</v>
      </c>
      <c r="H13" s="4" t="n">
        <v>0.15</v>
      </c>
      <c r="I13" s="3" t="n">
        <v>110400</v>
      </c>
      <c r="J13" s="3" t="n">
        <v>91200</v>
      </c>
      <c r="K13" s="3" t="n">
        <v>115920</v>
      </c>
      <c r="L13" s="2" t="inlineStr">
        <is>
          <t>مقطورة خدمة</t>
        </is>
      </c>
      <c r="M13" s="2" t="inlineStr">
        <is>
          <t>تقدير معدات؛ يجب عرض مورد</t>
        </is>
      </c>
    </row>
    <row r="14">
      <c r="A14" s="2" t="inlineStr">
        <is>
          <t>عزاقة ومكنسة ملحقة بالجرار</t>
        </is>
      </c>
      <c r="B14" s="2" t="inlineStr">
        <is>
          <t>معدات</t>
        </is>
      </c>
      <c r="C14" s="3" t="n">
        <v>65000</v>
      </c>
      <c r="D14" s="4" t="n">
        <v>1.18</v>
      </c>
      <c r="E14" s="3" t="n">
        <v>76700</v>
      </c>
      <c r="F14" s="3" t="n">
        <v>11700</v>
      </c>
      <c r="G14" s="4" t="n">
        <v>0.18</v>
      </c>
      <c r="H14" s="4" t="n">
        <v>0.15</v>
      </c>
      <c r="I14" s="3" t="n">
        <v>88205</v>
      </c>
      <c r="J14" s="3" t="n">
        <v>72865</v>
      </c>
      <c r="K14" s="3" t="n">
        <v>92615</v>
      </c>
      <c r="L14" s="2" t="inlineStr">
        <is>
          <t>ملحقات جرار</t>
        </is>
      </c>
      <c r="M14" s="2" t="inlineStr">
        <is>
          <t>تقدير معدات؛ يجب عرض مورد</t>
        </is>
      </c>
    </row>
    <row r="15">
      <c r="A15" s="2" t="inlineStr">
        <is>
          <t>تجهيزات الحجر البيطري</t>
        </is>
      </c>
      <c r="B15" s="2" t="inlineStr">
        <is>
          <t>بيطري</t>
        </is>
      </c>
      <c r="C15" s="3" t="n">
        <v>36500</v>
      </c>
      <c r="D15" s="4" t="n">
        <v>1.15</v>
      </c>
      <c r="E15" s="3" t="n">
        <v>41975</v>
      </c>
      <c r="F15" s="3" t="n">
        <v>5475</v>
      </c>
      <c r="G15" s="4" t="n">
        <v>0.15</v>
      </c>
      <c r="H15" s="4" t="n">
        <v>0.1</v>
      </c>
      <c r="I15" s="3" t="n">
        <v>46173</v>
      </c>
      <c r="J15" s="3" t="n">
        <v>39876</v>
      </c>
      <c r="K15" s="3" t="n">
        <v>48482</v>
      </c>
      <c r="L15" s="2" t="inlineStr">
        <is>
          <t>أدوات عزل/تطهير/تجهيزات أساسية</t>
        </is>
      </c>
      <c r="M15" s="2" t="inlineStr">
        <is>
          <t>تقدير بيطري ومستلزمات محلية</t>
        </is>
      </c>
    </row>
    <row r="16">
      <c r="A16" s="2" t="inlineStr">
        <is>
          <t>الإجمالي</t>
        </is>
      </c>
      <c r="B16" s="2" t="n"/>
      <c r="C16" s="3">
        <f>SUM(C2:C15)</f>
        <v/>
      </c>
      <c r="D16" s="4" t="n"/>
      <c r="E16" s="3">
        <f>SUM(E2:E15)</f>
        <v/>
      </c>
      <c r="F16" s="3">
        <f>SUM(F2:F15)</f>
        <v/>
      </c>
      <c r="G16" s="4">
        <f>F16/C16</f>
        <v/>
      </c>
      <c r="H16" s="4" t="inlineStr">
        <is>
          <t>مختلط</t>
        </is>
      </c>
      <c r="I16" s="3">
        <f>SUM(I2:I15)</f>
        <v/>
      </c>
      <c r="J16" s="3">
        <f>SUM(J2:J15)</f>
        <v/>
      </c>
      <c r="K16" s="3">
        <f>SUM(K2:K15)</f>
        <v/>
      </c>
      <c r="L16" s="2" t="n"/>
      <c r="M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تاريخ التحديث</t>
        </is>
      </c>
      <c r="B1" s="1" t="inlineStr">
        <is>
          <t>20 مايو 2026</t>
        </is>
      </c>
    </row>
    <row r="2">
      <c r="A2" s="2" t="inlineStr">
        <is>
          <t>السوق</t>
        </is>
      </c>
      <c r="B2" s="2" t="inlineStr">
        <is>
          <t>مصر</t>
        </is>
      </c>
    </row>
    <row r="3">
      <c r="A3" s="2" t="inlineStr">
        <is>
          <t>العملة</t>
        </is>
      </c>
      <c r="B3" s="2" t="inlineStr">
        <is>
          <t>جنيه مصري</t>
        </is>
      </c>
    </row>
    <row r="4">
      <c r="A4" s="2" t="inlineStr">
        <is>
          <t>النطاق</t>
        </is>
      </c>
      <c r="B4" s="2" t="inlineStr">
        <is>
          <t>إنشاء وتجهيز مشروع تسمين الخراف فقط؛ الدواجن خارج النطاق</t>
        </is>
      </c>
    </row>
    <row r="5">
      <c r="A5" s="2" t="inlineStr">
        <is>
          <t>إجمالي سبتمبر 2025</t>
        </is>
      </c>
      <c r="B5" s="2">
        <f>'Price Update'!C16</f>
        <v/>
      </c>
    </row>
    <row r="6">
      <c r="A6" s="2" t="inlineStr">
        <is>
          <t>إجمالي محدث بدون احتياطي</t>
        </is>
      </c>
      <c r="B6" s="2">
        <f>'Price Update'!E16</f>
        <v/>
      </c>
    </row>
    <row r="7">
      <c r="A7" s="2" t="inlineStr">
        <is>
          <t>إجمالي آمن باحتياطي مخاطر</t>
        </is>
      </c>
      <c r="B7" s="2">
        <f>'Price Update'!I16</f>
        <v/>
      </c>
    </row>
    <row r="8">
      <c r="A8" s="2" t="inlineStr">
        <is>
          <t>فرق التمويل المطلوب بدون احتياطي</t>
        </is>
      </c>
      <c r="B8" s="2">
        <f>'Price Update'!F16</f>
        <v/>
      </c>
    </row>
    <row r="9">
      <c r="A9" s="2" t="inlineStr">
        <is>
          <t>نسبة الزيادة بدون احتياطي</t>
        </is>
      </c>
      <c r="B9" s="2">
        <f>'Price Update'!G16</f>
        <v/>
      </c>
    </row>
    <row r="10">
      <c r="A10" s="2" t="inlineStr">
        <is>
          <t>ملاحظة</t>
        </is>
      </c>
      <c r="B10" s="2" t="inlineStr">
        <is>
          <t>الأسعار تقديرية سريعة وليست عروض أسعار ملزمة؛ يلزم طلب عروض مباشرة للبنود ذات التصنيع/المعدات.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26" customWidth="1" min="4" max="4"/>
  </cols>
  <sheetData>
    <row r="1">
      <c r="A1" s="1" t="inlineStr">
        <is>
          <t>السيناريو</t>
        </is>
      </c>
      <c r="B1" s="1" t="inlineStr">
        <is>
          <t>الوصف</t>
        </is>
      </c>
      <c r="C1" s="1" t="inlineStr">
        <is>
          <t>القيمة المقدرة</t>
        </is>
      </c>
      <c r="D1" s="1" t="inlineStr">
        <is>
          <t>الاستخدام</t>
        </is>
      </c>
    </row>
    <row r="2">
      <c r="A2" s="2" t="inlineStr">
        <is>
          <t>محافظ</t>
        </is>
      </c>
      <c r="B2" s="2" t="inlineStr">
        <is>
          <t>السعر المحدث بدون احتياطي مخاطر</t>
        </is>
      </c>
      <c r="C2" s="2">
        <f>'Price Update'!E16</f>
        <v/>
      </c>
      <c r="D2" s="2" t="inlineStr">
        <is>
          <t>رقم تفاوض أولي</t>
        </is>
      </c>
    </row>
    <row r="3">
      <c r="A3" s="2" t="inlineStr">
        <is>
          <t>آمن</t>
        </is>
      </c>
      <c r="B3" s="2" t="inlineStr">
        <is>
          <t>السعر المحدث + احتياطي حسب نوع البند</t>
        </is>
      </c>
      <c r="C3" s="2">
        <f>'Price Update'!I16</f>
        <v/>
      </c>
      <c r="D3" s="2" t="inlineStr">
        <is>
          <t>يفضل كتمويل مطلوب حاليًا</t>
        </is>
      </c>
    </row>
    <row r="4">
      <c r="A4" s="2" t="inlineStr">
        <is>
          <t>حد منخفض</t>
        </is>
      </c>
      <c r="B4" s="2" t="inlineStr">
        <is>
          <t>نطاق منخفض عند أسعار موردين جيدة</t>
        </is>
      </c>
      <c r="C4" s="2">
        <f>'Price Update'!J16</f>
        <v/>
      </c>
      <c r="D4" s="2" t="inlineStr">
        <is>
          <t>للتفاوض</t>
        </is>
      </c>
    </row>
    <row r="5">
      <c r="A5" s="2" t="inlineStr">
        <is>
          <t>حد مرتفع</t>
        </is>
      </c>
      <c r="B5" s="2" t="inlineStr">
        <is>
          <t>نطاق مرتفع مع مخاطر توريد ونقل</t>
        </is>
      </c>
      <c r="C5" s="2">
        <f>'Price Update'!K16</f>
        <v/>
      </c>
      <c r="D5" s="2" t="inlineStr">
        <is>
          <t>سقف اعتماد داخلي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6" customWidth="1" min="3" max="3"/>
  </cols>
  <sheetData>
    <row r="1">
      <c r="A1" s="1" t="inlineStr">
        <is>
          <t>البند</t>
        </is>
      </c>
      <c r="B1" s="1" t="inlineStr">
        <is>
          <t>سبب طلب عرض مباشر</t>
        </is>
      </c>
      <c r="C1" s="1" t="inlineStr">
        <is>
          <t>أولوية</t>
        </is>
      </c>
    </row>
    <row r="2">
      <c r="A2" s="2" t="inlineStr">
        <is>
          <t>حواجز الحظائر وخطوط الأعلاف</t>
        </is>
      </c>
      <c r="B2" s="2" t="inlineStr">
        <is>
          <t>السعر يعتمد على مواصفة/تصنيع/حالة المعدة/المورد وليس مؤشر سوق عام</t>
        </is>
      </c>
      <c r="C2" s="2" t="inlineStr">
        <is>
          <t>عالية</t>
        </is>
      </c>
    </row>
    <row r="3">
      <c r="A3" s="2" t="inlineStr">
        <is>
          <t>الإنارة والكاميرات وأنظمة التحكم</t>
        </is>
      </c>
      <c r="B3" s="2" t="inlineStr">
        <is>
          <t>السعر يعتمد على مواصفة/تصنيع/حالة المعدة/المورد وليس مؤشر سوق عام</t>
        </is>
      </c>
      <c r="C3" s="2" t="inlineStr">
        <is>
          <t>عالية</t>
        </is>
      </c>
    </row>
    <row r="4">
      <c r="A4" s="2" t="inlineStr">
        <is>
          <t>بلتات تخزين قش الرز</t>
        </is>
      </c>
      <c r="B4" s="2" t="inlineStr">
        <is>
          <t>السعر يعتمد على مواصفة/تصنيع/حالة المعدة/المورد وليس مؤشر سوق عام</t>
        </is>
      </c>
      <c r="C4" s="2" t="inlineStr">
        <is>
          <t>عالية</t>
        </is>
      </c>
    </row>
    <row r="5">
      <c r="A5" s="2" t="inlineStr">
        <is>
          <t>جرار زراعي 20 حصان</t>
        </is>
      </c>
      <c r="B5" s="2" t="inlineStr">
        <is>
          <t>السعر يعتمد على مواصفة/تصنيع/حالة المعدة/المورد وليس مؤشر سوق عام</t>
        </is>
      </c>
      <c r="C5" s="2" t="inlineStr">
        <is>
          <t>عالية</t>
        </is>
      </c>
    </row>
    <row r="6">
      <c r="A6" s="2" t="inlineStr">
        <is>
          <t>مفرمة للقش</t>
        </is>
      </c>
      <c r="B6" s="2" t="inlineStr">
        <is>
          <t>السعر يعتمد على مواصفة/تصنيع/حالة المعدة/المورد وليس مؤشر سوق عام</t>
        </is>
      </c>
      <c r="C6" s="2" t="inlineStr">
        <is>
          <t>عالية</t>
        </is>
      </c>
    </row>
    <row r="7">
      <c r="A7" s="2" t="inlineStr">
        <is>
          <t>مقطورة للجرار</t>
        </is>
      </c>
      <c r="B7" s="2" t="inlineStr">
        <is>
          <t>السعر يعتمد على مواصفة/تصنيع/حالة المعدة/المورد وليس مؤشر سوق عام</t>
        </is>
      </c>
      <c r="C7" s="2" t="inlineStr">
        <is>
          <t>عالية</t>
        </is>
      </c>
    </row>
    <row r="8">
      <c r="A8" s="2" t="inlineStr">
        <is>
          <t>عزاقة ومكنسة ملحقة بالجرار</t>
        </is>
      </c>
      <c r="B8" s="2" t="inlineStr">
        <is>
          <t>السعر يعتمد على مواصفة/تصنيع/حالة المعدة/المورد وليس مؤشر سوق عام</t>
        </is>
      </c>
      <c r="C8" s="2" t="inlineStr">
        <is>
          <t>عالية</t>
        </is>
      </c>
    </row>
    <row r="9">
      <c r="A9" s="2" t="inlineStr">
        <is>
          <t>شراء الخراف لأول دورة</t>
        </is>
      </c>
      <c r="B9" s="2" t="inlineStr">
        <is>
          <t>غير داخل المصروف الافتتاحي؛ يحتاج سعر قائم ووزن ومصدر وعدد رؤوس قبل التنفيذ</t>
        </is>
      </c>
      <c r="C9" s="2" t="inlineStr">
        <is>
          <t>عالية بعد جاهزية الإنشاء</t>
        </is>
      </c>
    </row>
    <row r="10">
      <c r="A10" s="2" t="inlineStr">
        <is>
          <t>الأعلاف لأول دورة</t>
        </is>
      </c>
      <c r="B10" s="2" t="inlineStr">
        <is>
          <t>غير داخل المصروف الافتتاحي؛ يحتاج تركيبة علف وسعر طن وتوريد منتظم</t>
        </is>
      </c>
      <c r="C10" s="2" t="inlineStr">
        <is>
          <t>عالية قبل إدخال الخراف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</cols>
  <sheetData>
    <row r="1">
      <c r="A1" s="1" t="inlineStr">
        <is>
          <t>المصدر</t>
        </is>
      </c>
      <c r="B1" s="1" t="inlineStr">
        <is>
          <t>الرابط</t>
        </is>
      </c>
      <c r="C1" s="1" t="inlineStr">
        <is>
          <t>الاستخدام</t>
        </is>
      </c>
    </row>
    <row r="2">
      <c r="A2" s="2" t="inlineStr">
        <is>
          <t>نشرة وزارة الإسكان والمرافق والمجتمعات العمرانية - مواد البناء 2026</t>
        </is>
      </c>
      <c r="B2" s="2" t="inlineStr">
        <is>
          <t>https://img.mhuc.gov.eg/images/706fc020-a0b6-4095-a2fb-4cc21e2e2b38.pdf</t>
        </is>
      </c>
      <c r="C2" s="2" t="inlineStr">
        <is>
          <t>مصدر رسمي استرشادي؛ الأسعار شاملة الضرائب ولا تشمل النقل.</t>
        </is>
      </c>
    </row>
    <row r="3">
      <c r="A3" s="2" t="inlineStr">
        <is>
          <t>جريدة المال - أسعار الحديد في مصر 19 مايو 2026</t>
        </is>
      </c>
      <c r="B3" s="2" t="inlineStr">
        <is>
          <t>https://almalnews.com/2114994/</t>
        </is>
      </c>
      <c r="C3" s="2" t="inlineStr">
        <is>
          <t>حديد عز 39,850 جنيه/طن وقائمة شركات أخرى بين 37,000 و39,850 تقريبًا.</t>
        </is>
      </c>
    </row>
    <row r="4">
      <c r="A4" s="2" t="inlineStr">
        <is>
          <t>عالم المال - أسعار حديد التسليح 19 مايو 2026</t>
        </is>
      </c>
      <c r="B4" s="2" t="inlineStr">
        <is>
          <t>https://alamalmal.net/article/929642/</t>
        </is>
      </c>
      <c r="C4" s="2" t="inlineStr">
        <is>
          <t>حديد عز 39,337.67 جنيه/طن وحديد بشاي 39,800 جنيه/طن.</t>
        </is>
      </c>
    </row>
    <row r="5">
      <c r="A5" s="2" t="inlineStr">
        <is>
          <t>Banker - أسعار الأسمنت 19 مايو 2026</t>
        </is>
      </c>
      <c r="B5" s="2" t="inlineStr">
        <is>
          <t>https://www.banker.news/137432</t>
        </is>
      </c>
      <c r="C5" s="2" t="inlineStr">
        <is>
          <t>مرجع خبري حديث لنطاق الأسمنت.</t>
        </is>
      </c>
    </row>
    <row r="6">
      <c r="A6" s="2" t="inlineStr">
        <is>
          <t>بناية - خزان مياه رأسي بولي تانك 3000 لتر</t>
        </is>
      </c>
      <c r="B6" s="2" t="inlineStr">
        <is>
          <t>https://bnaia.com/ar/catalog/product/view/id/45712</t>
        </is>
      </c>
      <c r="C6" s="2" t="inlineStr">
        <is>
          <t>سعر ظاهر 8,359.74 جنيه للخزان 3000 لتر.</t>
        </is>
      </c>
    </row>
    <row r="7">
      <c r="A7" s="2" t="inlineStr">
        <is>
          <t>Banker - أسعار الخراف والماشية 19 مايو 2026</t>
        </is>
      </c>
      <c r="B7" s="2" t="inlineStr">
        <is>
          <t>https://www.banker.news/137460</t>
        </is>
      </c>
      <c r="C7" s="2" t="inlineStr">
        <is>
          <t>الخراف البلدي 205-250 جنيه/كجم قائم، والبرقي 220-280 وقد يصل 315.</t>
        </is>
      </c>
    </row>
    <row r="8">
      <c r="A8" s="2" t="inlineStr">
        <is>
          <t>صحيفة ديما - أسعار الخروف في مصر 2026</t>
        </is>
      </c>
      <c r="B8" s="2" t="inlineStr">
        <is>
          <t>https://www.deema.inc/sheep-prices-egypt-2026-today-live/</t>
        </is>
      </c>
      <c r="C8" s="2" t="inlineStr">
        <is>
          <t>مرجع إضافي: البلدي 180-210 جنيه/كجم قائم، متوسط الخروف 10,000-18,000 جنيه.</t>
        </is>
      </c>
    </row>
    <row r="9">
      <c r="A9" s="2" t="inlineStr">
        <is>
          <t>افتراض احتياطي المخاطر</t>
        </is>
      </c>
      <c r="B9" s="2" t="inlineStr">
        <is>
          <t>داخلي</t>
        </is>
      </c>
      <c r="C9" s="2" t="inlineStr">
        <is>
          <t>10% للبنود المحلية، 15% للمعدات، 20% للتصنيع الخاص/المورد المباشر.</t>
        </is>
      </c>
    </row>
    <row r="10">
      <c r="A10" s="2" t="inlineStr">
        <is>
          <t>فصل التشغيل عن الإنشاء</t>
        </is>
      </c>
      <c r="B10" s="2" t="inlineStr">
        <is>
          <t>داخلي</t>
        </is>
      </c>
      <c r="C10" s="2" t="inlineStr">
        <is>
          <t>شراء الخراف والعلف والأدوية للدورة الأولى لم تدخل في إجمالي المصروف الافتتاحي.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25" customWidth="1" min="4" max="4"/>
    <col width="24" customWidth="1" min="5" max="5"/>
  </cols>
  <sheetData>
    <row r="1">
      <c r="A1" s="1" t="inlineStr">
        <is>
          <t>المرحلة</t>
        </is>
      </c>
      <c r="B1" s="1" t="inlineStr">
        <is>
          <t>قيمة سبتمبر</t>
        </is>
      </c>
      <c r="C1" s="1" t="inlineStr">
        <is>
          <t>النسبة من الإجمالي</t>
        </is>
      </c>
      <c r="D1" s="1" t="inlineStr">
        <is>
          <t>قيمة محدثة بدون احتياطي</t>
        </is>
      </c>
      <c r="E1" s="1" t="inlineStr">
        <is>
          <t>قيمة آمنة بالاحتياطي</t>
        </is>
      </c>
    </row>
    <row r="2">
      <c r="A2" s="2" t="inlineStr">
        <is>
          <t>دفعة التعاقد</t>
        </is>
      </c>
      <c r="B2" s="3" t="n">
        <v>1937114</v>
      </c>
      <c r="C2" s="4" t="n">
        <v>0.536073966658549</v>
      </c>
      <c r="D2" s="3">
        <f>'Price Update'!E16*C2</f>
        <v/>
      </c>
      <c r="E2" s="3">
        <f>'Price Update'!I16*C2</f>
        <v/>
      </c>
    </row>
    <row r="3">
      <c r="A3" s="2" t="inlineStr">
        <is>
          <t>الأسبوع 1</t>
        </is>
      </c>
      <c r="B3" s="3" t="n">
        <v>456000</v>
      </c>
      <c r="C3" s="4" t="n">
        <v>0.1261927428103345</v>
      </c>
      <c r="D3" s="3">
        <f>'Price Update'!E16*C3</f>
        <v/>
      </c>
      <c r="E3" s="3">
        <f>'Price Update'!I16*C3</f>
        <v/>
      </c>
    </row>
    <row r="4">
      <c r="A4" s="2" t="inlineStr">
        <is>
          <t>الأسبوع 2</t>
        </is>
      </c>
      <c r="B4" s="3" t="n">
        <v>309152</v>
      </c>
      <c r="C4" s="4" t="n">
        <v>0.0855542518098696</v>
      </c>
      <c r="D4" s="3">
        <f>'Price Update'!E16*C4</f>
        <v/>
      </c>
      <c r="E4" s="3">
        <f>'Price Update'!I16*C4</f>
        <v/>
      </c>
    </row>
    <row r="5">
      <c r="A5" s="2" t="inlineStr">
        <is>
          <t>الأسبوع 3</t>
        </is>
      </c>
      <c r="B5" s="3" t="n">
        <v>296501</v>
      </c>
      <c r="C5" s="4" t="n">
        <v>0.08205323341229605</v>
      </c>
      <c r="D5" s="3">
        <f>'Price Update'!E16*C5</f>
        <v/>
      </c>
      <c r="E5" s="3">
        <f>'Price Update'!I16*C5</f>
        <v/>
      </c>
    </row>
    <row r="6">
      <c r="A6" s="2" t="inlineStr">
        <is>
          <t>الأسبوع 4</t>
        </is>
      </c>
      <c r="B6" s="3" t="n">
        <v>396551</v>
      </c>
      <c r="C6" s="4" t="n">
        <v>0.1097409174433793</v>
      </c>
      <c r="D6" s="3">
        <f>'Price Update'!E16*C6</f>
        <v/>
      </c>
      <c r="E6" s="3">
        <f>'Price Update'!I16*C6</f>
        <v/>
      </c>
    </row>
    <row r="7">
      <c r="A7" s="2" t="inlineStr">
        <is>
          <t>الأسبوع 5</t>
        </is>
      </c>
      <c r="B7" s="3" t="n">
        <v>218202</v>
      </c>
      <c r="C7" s="4" t="n">
        <v>0.06038488786557152</v>
      </c>
      <c r="D7" s="3">
        <f>'Price Update'!E16*C7</f>
        <v/>
      </c>
      <c r="E7" s="3">
        <f>'Price Update'!I16*C7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0" customWidth="1" min="3" max="3"/>
  </cols>
  <sheetData>
    <row r="1">
      <c r="A1" s="1" t="inlineStr">
        <is>
          <t>البند</t>
        </is>
      </c>
      <c r="B1" s="1" t="inlineStr">
        <is>
          <t>سعر/نطاق مرجعي</t>
        </is>
      </c>
      <c r="C1" s="1" t="inlineStr">
        <is>
          <t>ملاحظة</t>
        </is>
      </c>
    </row>
    <row r="2">
      <c r="A2" s="2" t="inlineStr">
        <is>
          <t>الخراف البلدي قائم</t>
        </is>
      </c>
      <c r="B2" s="2" t="inlineStr">
        <is>
          <t>180-250 جنيه/كجم قائم</t>
        </is>
      </c>
      <c r="C2" s="2" t="inlineStr">
        <is>
          <t>مرجع سوق مايو 2026؛ لا يدخل في المصروف الافتتاحي</t>
        </is>
      </c>
    </row>
    <row r="3">
      <c r="A3" s="2" t="inlineStr">
        <is>
          <t>الخراف البرقي قائم</t>
        </is>
      </c>
      <c r="B3" s="2" t="inlineStr">
        <is>
          <t>220-280 جنيه/كجم وقد يصل 315</t>
        </is>
      </c>
      <c r="C3" s="2" t="inlineStr">
        <is>
          <t>يستخدم فقط عند اختيار نوع الخراف ومصدر الشراء</t>
        </is>
      </c>
    </row>
    <row r="4">
      <c r="A4" s="2" t="inlineStr">
        <is>
          <t>عدد أولي مقترح</t>
        </is>
      </c>
      <c r="B4" s="2" t="inlineStr">
        <is>
          <t>250 ثم 500 رأس</t>
        </is>
      </c>
      <c r="C4" s="2" t="inlineStr">
        <is>
          <t>لتقليل المخاطر بعد جاهزية الموقع</t>
        </is>
      </c>
    </row>
    <row r="5">
      <c r="A5" s="2" t="inlineStr">
        <is>
          <t>شرط إدخال الخراف</t>
        </is>
      </c>
      <c r="B5" s="2" t="inlineStr">
        <is>
          <t>اختبار المياه والصرف والحجر والتغذية</t>
        </is>
      </c>
      <c r="C5" s="2" t="inlineStr">
        <is>
          <t>لا شراء قبل محضر جاهزية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2026-05-19T23:59:31Z</dcterms:created>
  <dcterms:modified xmlns:dcterms="http://purl.org/dc/terms/" xmlns:xsi="http://www.w3.org/2001/XMLSchema-instance" xsi:type="dcterms:W3CDTF">2026-05-19T23:59:31Z</dcterms:modified>
</cp:coreProperties>
</file>