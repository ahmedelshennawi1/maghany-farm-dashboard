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المصروف الافتتاحي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1 (2)" sheetId="3" state="visible" r:id="rId3"/>
    <sheet xmlns:r="http://schemas.openxmlformats.org/officeDocument/2006/relationships" name="Sheet5" sheetId="4" state="visible" r:id="rId4"/>
    <sheet xmlns:r="http://schemas.openxmlformats.org/officeDocument/2006/relationships" name="Sheet5 (2)" sheetId="5" state="visible" r:id="rId5"/>
    <sheet xmlns:r="http://schemas.openxmlformats.org/officeDocument/2006/relationships" name="المصروف الافتتاحي (2)" sheetId="6" state="visible" r:id="rId6"/>
  </sheets>
  <definedNames>
    <definedName name="_xlcn.WorksheetConnection_MGMFS.xlsxTable81" hidden="1">Table8[]</definedName>
    <definedName name="_xlcn.WorksheetConnection_MGMFS.xlsxالبنية_التحتية_و_الخدمات1" hidden="1">البنية_التحتية_و_الخدمات[]</definedName>
    <definedName name="_xlcn.WorksheetConnection_MGMFS.xlsxالمعدات_والتجهيزات1" hidden="1">المعدات_والتجهيزات[]</definedName>
    <definedName name="_xlcn.WorksheetConnection_المصروفالافتتاحيB4J91" hidden="1">'المصروف الافتتاحي'!$B$6:$I$11</definedName>
    <definedName name="INT">البنية_التحتية_و_الخدمات[[#Totals],[المبلغ بالجنيه]]</definedName>
    <definedName name="Slicer_البند">#N/A</definedName>
    <definedName name="STT">'المصروف الافتتاحي'!$C$11</definedName>
    <definedName name="_xlnm.Print_Area" localSheetId="0">'المصروف الافتتاحي'!$B$3:$D$28</definedName>
    <definedName name="_xlnm.Print_Area" localSheetId="1">'Sheet1'!$A$2:$J$16</definedName>
    <definedName name="INT" localSheetId="2">البنية_التحتية_و_الخدمات[[#Totals],[المبلغ بالجنيه]]</definedName>
    <definedName name="_xlnm.Print_Area" localSheetId="2">'Sheet1 (2)'!$A$1:$G$33</definedName>
    <definedName name="ExternalData_1" localSheetId="4" hidden="1">'Sheet5 (2)'!$A$2:$H$17</definedName>
    <definedName name="_xlnm.Print_Area" localSheetId="5">'المصروف الافتتاحي (2)'!$B$2:$D$16</definedName>
  </definedNames>
  <calcPr calcId="191029" fullCalcOnLoad="1"/>
  <pivotCaches>
    <pivotCache xmlns:r="http://schemas.openxmlformats.org/officeDocument/2006/relationships" cacheId="0" r:id="rId7"/>
  </pivotCaches>
</workbook>
</file>

<file path=xl/styles.xml><?xml version="1.0" encoding="utf-8"?>
<styleSheet xmlns="http://schemas.openxmlformats.org/spreadsheetml/2006/main">
  <numFmts count="3">
    <numFmt numFmtId="164" formatCode="[$EGP]\ #,##0"/>
    <numFmt numFmtId="165" formatCode="&quot;$&quot;#,##0"/>
    <numFmt numFmtId="166" formatCode="[$-F800]dddd\,\ mmmm\ dd\,\ yyyy"/>
  </numFmts>
  <fonts count="19">
    <font>
      <name val="Tahoma"/>
      <family val="2"/>
      <color theme="1" tint="0.249946592608417"/>
      <sz val="10"/>
    </font>
    <font>
      <name val="Tahoma"/>
      <family val="2"/>
      <color theme="1" tint="0.249946592608417"/>
      <sz val="10"/>
    </font>
    <font>
      <name val="Tahoma"/>
      <family val="2"/>
      <b val="1"/>
      <color theme="4" tint="-0.249946592608417"/>
      <sz val="9"/>
    </font>
    <font>
      <name val="Tahoma"/>
      <family val="2"/>
      <b val="1"/>
      <color theme="4" tint="-0.499984740745262"/>
      <sz val="9"/>
    </font>
    <font>
      <name val="Tahoma"/>
      <family val="2"/>
      <b val="1"/>
      <color theme="1" tint="0.3499862666707358"/>
      <sz val="10"/>
    </font>
    <font>
      <name val="Tahoma"/>
      <family val="2"/>
      <color theme="1" tint="0.3499862666707358"/>
      <sz val="10"/>
    </font>
    <font>
      <name val="Tahoma"/>
      <family val="2"/>
      <b val="1"/>
      <color theme="4" tint="-0.499984740745262"/>
      <sz val="10"/>
    </font>
    <font>
      <name val="Tahoma"/>
      <family val="2"/>
      <color theme="4" tint="-0.249946592608417"/>
      <sz val="29"/>
    </font>
    <font>
      <name val="Tahoma"/>
      <family val="2"/>
      <sz val="8"/>
    </font>
    <font>
      <name val="Tahoma"/>
      <family val="2"/>
      <b val="1"/>
      <color theme="1" tint="0.249946592608417"/>
      <sz val="11"/>
    </font>
    <font>
      <name val="Tahoma"/>
      <family val="2"/>
      <b val="1"/>
      <color theme="1" tint="0.249946592608417"/>
      <sz val="10"/>
    </font>
    <font>
      <name val="Tahoma"/>
      <family val="2"/>
      <b val="1"/>
      <color theme="0"/>
      <sz val="10"/>
    </font>
    <font>
      <name val="Tahoma"/>
      <family val="2"/>
      <b val="1"/>
      <color theme="1" tint="0.249946592608417"/>
      <sz val="24"/>
    </font>
    <font>
      <name val="Tahoma"/>
      <family val="2"/>
      <b val="1"/>
      <color theme="4" tint="-0.499984740745262"/>
      <sz val="12"/>
    </font>
    <font>
      <name val="Tahoma"/>
      <family val="2"/>
      <b val="1"/>
      <color theme="4" tint="-0.499984740745262"/>
      <sz val="14"/>
    </font>
    <font>
      <name val="Tahoma"/>
      <family val="2"/>
      <color theme="1" tint="0.249946592608417"/>
      <sz val="12"/>
    </font>
    <font>
      <name val="Tahoma"/>
      <family val="2"/>
      <color theme="1" tint="0.249946592608417"/>
      <sz val="16"/>
    </font>
    <font>
      <name val="Tahoma"/>
      <family val="2"/>
      <b val="1"/>
      <color theme="0"/>
      <sz val="16"/>
    </font>
    <font>
      <name val="Tahoma"/>
      <family val="2"/>
      <b val="1"/>
      <color theme="0"/>
      <sz val="9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499984740745262"/>
        <bgColor indexed="64"/>
      </patternFill>
    </fill>
  </fills>
  <borders count="32">
    <border>
      <left/>
      <right/>
      <top/>
      <bottom/>
      <diagonal/>
    </border>
    <border>
      <left style="dotted">
        <color theme="4" tint="0.5999633777886288"/>
      </left>
      <right/>
      <top style="dotted">
        <color theme="4" tint="0.5999633777886288"/>
      </top>
      <bottom style="dotted">
        <color theme="4" tint="0.5999633777886288"/>
      </bottom>
      <diagonal/>
    </border>
    <border>
      <left style="dotted">
        <color theme="4" tint="0.5999633777886288"/>
      </left>
      <right/>
      <top/>
      <bottom/>
      <diagonal/>
    </border>
    <border>
      <left/>
      <right/>
      <top style="medium">
        <color theme="4" tint="-0.249946592608417"/>
      </top>
      <bottom style="dotted">
        <color theme="4" tint="0.5999633777886288"/>
      </bottom>
      <diagonal/>
    </border>
    <border>
      <left/>
      <right/>
      <top style="dotted">
        <color theme="4" tint="0.5999633777886288"/>
      </top>
      <bottom style="dotted">
        <color theme="4" tint="0.5999633777886288"/>
      </bottom>
      <diagonal/>
    </border>
    <border>
      <left/>
      <right/>
      <top/>
      <bottom style="medium">
        <color theme="9" tint="-0.249977111117893"/>
      </bottom>
      <diagonal/>
    </border>
    <border>
      <left style="dotted">
        <color theme="4" tint="0.5999633777886288"/>
      </left>
      <right/>
      <top/>
      <bottom style="medium">
        <color theme="9" tint="-0.249977111117893"/>
      </bottom>
      <diagonal/>
    </border>
    <border>
      <left/>
      <right/>
      <top style="dotted">
        <color theme="4" tint="0.5999633777886288"/>
      </top>
      <bottom/>
      <diagonal/>
    </border>
    <border>
      <left style="dotted">
        <color theme="4" tint="0.5999633777886288"/>
      </left>
      <right/>
      <top style="dotted">
        <color theme="4" tint="0.5999633777886288"/>
      </top>
      <bottom/>
      <diagonal/>
    </border>
    <border>
      <left/>
      <right/>
      <top/>
      <bottom style="dotted">
        <color theme="4" tint="0.5999633777886288"/>
      </bottom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/>
      <bottom style="dotted">
        <color theme="4" tint="0.599963377788628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9" tint="-0.499984740745262"/>
      </top>
      <bottom style="thick">
        <color theme="9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9" tint="-0.499984740745262"/>
      </bottom>
      <diagonal/>
    </border>
    <border>
      <left style="dotted">
        <color theme="4" tint="0.5999633777886288"/>
      </left>
      <right/>
      <top/>
      <bottom style="thick">
        <color theme="9" tint="-0.499984740745262"/>
      </bottom>
      <diagonal/>
    </border>
    <border>
      <left style="dotted">
        <color theme="4" tint="0.5999633777886288"/>
      </left>
      <right style="dotted">
        <color theme="4" tint="0.5999633777886288"/>
      </right>
      <top/>
      <bottom style="thick">
        <color theme="9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 applyAlignment="1">
      <alignment vertical="center" readingOrder="2"/>
    </xf>
    <xf numFmtId="9" fontId="1" fillId="0" borderId="0"/>
    <xf numFmtId="0" fontId="7" fillId="0" borderId="0"/>
    <xf numFmtId="0" fontId="6" fillId="0" borderId="0"/>
    <xf numFmtId="0" fontId="2" fillId="0" borderId="0" applyAlignment="1">
      <alignment horizontal="left" vertical="center" indent="1"/>
    </xf>
  </cellStyleXfs>
  <cellXfs count="110">
    <xf numFmtId="0" fontId="0" fillId="0" borderId="0" applyAlignment="1" pivotButton="0" quotePrefix="0" xfId="0">
      <alignment vertical="center" readingOrder="2"/>
    </xf>
    <xf numFmtId="164" fontId="1" fillId="0" borderId="0" applyAlignment="1" pivotButton="0" quotePrefix="0" xfId="0">
      <alignment vertical="center" readingOrder="2"/>
    </xf>
    <xf numFmtId="164" fontId="0" fillId="0" borderId="0" applyAlignment="1" pivotButton="0" quotePrefix="0" xfId="0">
      <alignment horizontal="left" vertical="center" indent="1" readingOrder="2"/>
    </xf>
    <xf numFmtId="164" fontId="0" fillId="0" borderId="0" applyAlignment="1" pivotButton="0" quotePrefix="0" xfId="0">
      <alignment horizontal="right" vertical="center" indent="1" readingOrder="2"/>
    </xf>
    <xf numFmtId="164" fontId="1" fillId="0" borderId="0" applyAlignment="1" pivotButton="0" quotePrefix="0" xfId="0">
      <alignment horizontal="right" vertical="center" readingOrder="2"/>
    </xf>
    <xf numFmtId="164" fontId="1" fillId="0" borderId="0" applyAlignment="1" pivotButton="0" quotePrefix="0" xfId="0">
      <alignment horizontal="left" vertical="center" indent="1" readingOrder="2"/>
    </xf>
    <xf numFmtId="164" fontId="1" fillId="0" borderId="0" applyAlignment="1" pivotButton="0" quotePrefix="0" xfId="0">
      <alignment horizontal="left" vertical="center" readingOrder="2"/>
    </xf>
    <xf numFmtId="164" fontId="1" fillId="0" borderId="0" applyAlignment="1" pivotButton="0" quotePrefix="0" xfId="0">
      <alignment horizontal="right" vertical="center" indent="1" readingOrder="2"/>
    </xf>
    <xf numFmtId="164" fontId="3" fillId="0" borderId="0" applyAlignment="1" pivotButton="0" quotePrefix="0" xfId="4">
      <alignment horizontal="left" vertical="center" indent="1" readingOrder="2"/>
    </xf>
    <xf numFmtId="164" fontId="3" fillId="0" borderId="0" applyAlignment="1" pivotButton="0" quotePrefix="0" xfId="4">
      <alignment horizontal="right" vertical="center" indent="1" readingOrder="2"/>
    </xf>
    <xf numFmtId="164" fontId="1" fillId="0" borderId="0" applyAlignment="1" pivotButton="0" quotePrefix="0" xfId="0">
      <alignment horizontal="center" vertical="center" readingOrder="2"/>
    </xf>
    <xf numFmtId="9" fontId="1" fillId="0" borderId="0" applyAlignment="1" pivotButton="0" quotePrefix="0" xfId="1">
      <alignment horizontal="center" vertical="center" readingOrder="2"/>
    </xf>
    <xf numFmtId="164" fontId="4" fillId="0" borderId="1" applyAlignment="1" pivotButton="0" quotePrefix="0" xfId="0">
      <alignment horizontal="left" vertical="center" indent="1" readingOrder="2"/>
    </xf>
    <xf numFmtId="164" fontId="5" fillId="0" borderId="2" applyAlignment="1" pivotButton="0" quotePrefix="0" xfId="0">
      <alignment horizontal="left" vertical="center" indent="1" readingOrder="2"/>
    </xf>
    <xf numFmtId="164" fontId="5" fillId="2" borderId="2" applyAlignment="1" pivotButton="0" quotePrefix="0" xfId="0">
      <alignment horizontal="left" vertical="center" indent="1" readingOrder="2"/>
    </xf>
    <xf numFmtId="164" fontId="3" fillId="0" borderId="3" applyAlignment="1" pivotButton="0" quotePrefix="0" xfId="4">
      <alignment horizontal="left" vertical="center" indent="1" readingOrder="2"/>
    </xf>
    <xf numFmtId="9" fontId="5" fillId="0" borderId="2" applyAlignment="1" pivotButton="0" quotePrefix="0" xfId="1">
      <alignment horizontal="center" vertical="center" readingOrder="2"/>
    </xf>
    <xf numFmtId="165" fontId="1" fillId="0" borderId="0" applyAlignment="1" pivotButton="0" quotePrefix="0" xfId="0">
      <alignment horizontal="center" vertical="center" readingOrder="2"/>
    </xf>
    <xf numFmtId="9" fontId="0" fillId="0" borderId="0" applyAlignment="1" pivotButton="0" quotePrefix="0" xfId="1">
      <alignment horizontal="center" vertical="center" readingOrder="2"/>
    </xf>
    <xf numFmtId="164" fontId="6" fillId="0" borderId="0" applyAlignment="1" pivotButton="0" quotePrefix="0" xfId="3">
      <alignment horizontal="right" vertical="center" readingOrder="2"/>
    </xf>
    <xf numFmtId="164" fontId="7" fillId="0" borderId="0" applyAlignment="1" pivotButton="0" quotePrefix="0" xfId="2">
      <alignment horizontal="right" vertical="center" indent="1" readingOrder="2"/>
    </xf>
    <xf numFmtId="9" fontId="5" fillId="0" borderId="6" applyAlignment="1" pivotButton="0" quotePrefix="0" xfId="1">
      <alignment horizontal="center" vertical="center" readingOrder="2"/>
    </xf>
    <xf numFmtId="9" fontId="1" fillId="0" borderId="5" applyAlignment="1" pivotButton="0" quotePrefix="0" xfId="1">
      <alignment horizontal="center" vertical="center" readingOrder="2"/>
    </xf>
    <xf numFmtId="164" fontId="1" fillId="0" borderId="5" applyAlignment="1" pivotButton="0" quotePrefix="0" xfId="0">
      <alignment horizontal="center" vertical="center" readingOrder="2"/>
    </xf>
    <xf numFmtId="164" fontId="5" fillId="0" borderId="7" applyAlignment="1" pivotButton="0" quotePrefix="0" xfId="0">
      <alignment horizontal="right" vertical="center" indent="1" readingOrder="2"/>
    </xf>
    <xf numFmtId="164" fontId="5" fillId="0" borderId="8" applyAlignment="1" pivotButton="0" quotePrefix="0" xfId="0">
      <alignment horizontal="left" vertical="center" indent="1" readingOrder="2"/>
    </xf>
    <xf numFmtId="164" fontId="5" fillId="2" borderId="0" applyAlignment="1" pivotButton="0" quotePrefix="0" xfId="0">
      <alignment horizontal="right" vertical="center" indent="1" readingOrder="2"/>
    </xf>
    <xf numFmtId="164" fontId="5" fillId="0" borderId="0" applyAlignment="1" pivotButton="0" quotePrefix="0" xfId="0">
      <alignment horizontal="right" vertical="center" indent="1" readingOrder="2"/>
    </xf>
    <xf numFmtId="164" fontId="4" fillId="0" borderId="4" applyAlignment="1" pivotButton="0" quotePrefix="0" xfId="0">
      <alignment horizontal="right" vertical="center" indent="1" readingOrder="2"/>
    </xf>
    <xf numFmtId="164" fontId="3" fillId="0" borderId="0" applyAlignment="1" pivotButton="0" quotePrefix="0" xfId="4">
      <alignment horizontal="right" vertical="center" indent="1" readingOrder="2"/>
    </xf>
    <xf numFmtId="164" fontId="3" fillId="0" borderId="0" applyAlignment="1" pivotButton="0" quotePrefix="0" xfId="4">
      <alignment horizontal="left" vertical="center" indent="1" readingOrder="2"/>
    </xf>
    <xf numFmtId="164" fontId="3" fillId="0" borderId="9" applyAlignment="1" pivotButton="0" quotePrefix="0" xfId="4">
      <alignment horizontal="left" vertical="center" indent="1" readingOrder="2"/>
    </xf>
    <xf numFmtId="164" fontId="0" fillId="0" borderId="0" applyAlignment="1" pivotButton="0" quotePrefix="0" xfId="0">
      <alignment vertical="center" readingOrder="2"/>
    </xf>
    <xf numFmtId="164" fontId="0" fillId="0" borderId="0" applyAlignment="1" pivotButton="0" quotePrefix="0" xfId="0">
      <alignment horizontal="left" vertical="center" readingOrder="2"/>
    </xf>
    <xf numFmtId="0" fontId="0" fillId="0" borderId="0" applyAlignment="1" pivotButton="1" quotePrefix="0" xfId="0">
      <alignment vertical="center" readingOrder="2"/>
    </xf>
    <xf numFmtId="0" fontId="0" fillId="0" borderId="0" applyAlignment="1" pivotButton="0" quotePrefix="0" xfId="0">
      <alignment horizontal="right" vertical="center" readingOrder="2"/>
    </xf>
    <xf numFmtId="164" fontId="5" fillId="0" borderId="7" applyAlignment="1" pivotButton="0" quotePrefix="0" xfId="0">
      <alignment horizontal="left" vertical="center" indent="1" readingOrder="2"/>
    </xf>
    <xf numFmtId="164" fontId="5" fillId="2" borderId="0" applyAlignment="1" pivotButton="0" quotePrefix="0" xfId="0">
      <alignment horizontal="left" vertical="center" indent="1" readingOrder="2"/>
    </xf>
    <xf numFmtId="164" fontId="5" fillId="0" borderId="0" applyAlignment="1" pivotButton="0" quotePrefix="0" xfId="0">
      <alignment horizontal="left" vertical="center" indent="1" readingOrder="2"/>
    </xf>
    <xf numFmtId="164" fontId="3" fillId="0" borderId="11" applyAlignment="1" pivotButton="0" quotePrefix="0" xfId="4">
      <alignment horizontal="left" vertical="center" indent="1" readingOrder="2"/>
    </xf>
    <xf numFmtId="164" fontId="1" fillId="0" borderId="10" applyAlignment="1" pivotButton="0" quotePrefix="0" xfId="1">
      <alignment horizontal="left" vertical="center" readingOrder="2"/>
    </xf>
    <xf numFmtId="0" fontId="9" fillId="0" borderId="0" applyAlignment="1" pivotButton="0" quotePrefix="0" xfId="0">
      <alignment vertical="center" readingOrder="2"/>
    </xf>
    <xf numFmtId="9" fontId="0" fillId="0" borderId="13" applyAlignment="1" pivotButton="0" quotePrefix="0" xfId="1">
      <alignment horizontal="center" vertical="center" readingOrder="2"/>
    </xf>
    <xf numFmtId="164" fontId="11" fillId="3" borderId="12" applyAlignment="1" pivotButton="0" quotePrefix="0" xfId="0">
      <alignment horizontal="center" vertical="center" readingOrder="2"/>
    </xf>
    <xf numFmtId="164" fontId="1" fillId="4" borderId="12" applyAlignment="1" pivotButton="0" quotePrefix="0" xfId="0">
      <alignment horizontal="left" vertical="center" readingOrder="2"/>
    </xf>
    <xf numFmtId="164" fontId="10" fillId="6" borderId="12" applyAlignment="1" pivotButton="0" quotePrefix="0" xfId="0">
      <alignment horizontal="center" vertical="center" readingOrder="2"/>
    </xf>
    <xf numFmtId="164" fontId="6" fillId="5" borderId="12" applyAlignment="1" pivotButton="0" quotePrefix="0" xfId="0">
      <alignment horizontal="center" vertical="center" readingOrder="2"/>
    </xf>
    <xf numFmtId="9" fontId="1" fillId="0" borderId="13" applyAlignment="1" pivotButton="0" quotePrefix="0" xfId="1">
      <alignment horizontal="center" vertical="center" readingOrder="2"/>
    </xf>
    <xf numFmtId="164" fontId="1" fillId="0" borderId="0" applyAlignment="1" pivotButton="0" quotePrefix="0" xfId="0">
      <alignment vertical="center" wrapText="1" readingOrder="2"/>
    </xf>
    <xf numFmtId="164" fontId="1" fillId="0" borderId="0" applyAlignment="1" pivotButton="0" quotePrefix="0" xfId="0">
      <alignment horizontal="left" vertical="center" wrapText="1" readingOrder="2"/>
    </xf>
    <xf numFmtId="164" fontId="1" fillId="0" borderId="16" applyAlignment="1" pivotButton="0" quotePrefix="0" xfId="0">
      <alignment horizontal="left" vertical="center" wrapText="1" readingOrder="2"/>
    </xf>
    <xf numFmtId="166" fontId="1" fillId="0" borderId="16" applyAlignment="1" pivotButton="0" quotePrefix="0" xfId="0">
      <alignment horizontal="center" vertical="center" wrapText="1" readingOrder="2"/>
    </xf>
    <xf numFmtId="166" fontId="1" fillId="0" borderId="16" applyAlignment="1" pivotButton="0" quotePrefix="0" xfId="0">
      <alignment horizontal="left" vertical="center" wrapText="1" readingOrder="2"/>
    </xf>
    <xf numFmtId="164" fontId="1" fillId="6" borderId="18" applyAlignment="1" pivotButton="0" quotePrefix="0" xfId="0">
      <alignment horizontal="left" vertical="center" wrapText="1" readingOrder="2"/>
    </xf>
    <xf numFmtId="164" fontId="1" fillId="6" borderId="19" applyAlignment="1" pivotButton="0" quotePrefix="0" xfId="0">
      <alignment horizontal="left" vertical="center" readingOrder="2"/>
    </xf>
    <xf numFmtId="0" fontId="0" fillId="7" borderId="0" applyAlignment="1" pivotButton="0" quotePrefix="0" xfId="0">
      <alignment vertical="center" readingOrder="2"/>
    </xf>
    <xf numFmtId="0" fontId="0" fillId="0" borderId="21" applyAlignment="1" pivotButton="0" quotePrefix="0" xfId="0">
      <alignment vertical="center" readingOrder="2"/>
    </xf>
    <xf numFmtId="164" fontId="1" fillId="8" borderId="0" applyAlignment="1" pivotButton="0" quotePrefix="0" xfId="0">
      <alignment horizontal="right" vertical="center" wrapText="1" readingOrder="2"/>
    </xf>
    <xf numFmtId="9" fontId="1" fillId="8" borderId="0" applyAlignment="1" pivotButton="0" quotePrefix="0" xfId="1">
      <alignment horizontal="center" vertical="center" readingOrder="2"/>
    </xf>
    <xf numFmtId="9" fontId="0" fillId="8" borderId="0" applyAlignment="1" pivotButton="0" quotePrefix="0" xfId="1">
      <alignment horizontal="center" vertical="center" readingOrder="2"/>
    </xf>
    <xf numFmtId="0" fontId="0" fillId="8" borderId="0" applyAlignment="1" pivotButton="0" quotePrefix="0" xfId="0">
      <alignment vertical="center" readingOrder="2"/>
    </xf>
    <xf numFmtId="164" fontId="13" fillId="5" borderId="12" applyAlignment="1" pivotButton="0" quotePrefix="0" xfId="0">
      <alignment horizontal="center" vertical="center" readingOrder="2"/>
    </xf>
    <xf numFmtId="164" fontId="14" fillId="5" borderId="12" applyAlignment="1" pivotButton="0" quotePrefix="0" xfId="0">
      <alignment horizontal="center" vertical="center" readingOrder="2"/>
    </xf>
    <xf numFmtId="9" fontId="15" fillId="0" borderId="13" applyAlignment="1" pivotButton="0" quotePrefix="0" xfId="1">
      <alignment horizontal="center" vertical="center" readingOrder="2"/>
    </xf>
    <xf numFmtId="9" fontId="16" fillId="0" borderId="13" applyAlignment="1" pivotButton="0" quotePrefix="0" xfId="1">
      <alignment horizontal="center" vertical="center" readingOrder="2"/>
    </xf>
    <xf numFmtId="166" fontId="10" fillId="0" borderId="20" applyAlignment="1" pivotButton="0" quotePrefix="0" xfId="0">
      <alignment horizontal="center" vertical="center" wrapText="1" readingOrder="2"/>
    </xf>
    <xf numFmtId="164" fontId="17" fillId="3" borderId="20" applyAlignment="1" pivotButton="0" quotePrefix="0" xfId="0">
      <alignment horizontal="center" vertical="center" readingOrder="2"/>
    </xf>
    <xf numFmtId="166" fontId="10" fillId="0" borderId="22" applyAlignment="1" pivotButton="0" quotePrefix="0" xfId="0">
      <alignment horizontal="center" vertical="center" wrapText="1" readingOrder="2"/>
    </xf>
    <xf numFmtId="166" fontId="10" fillId="0" borderId="23" applyAlignment="1" pivotButton="0" quotePrefix="0" xfId="0">
      <alignment horizontal="left" vertical="center" wrapText="1" readingOrder="2"/>
    </xf>
    <xf numFmtId="166" fontId="10" fillId="0" borderId="24" applyAlignment="1" pivotButton="0" quotePrefix="0" xfId="0">
      <alignment horizontal="left" vertical="center" wrapText="1" readingOrder="2"/>
    </xf>
    <xf numFmtId="164" fontId="17" fillId="3" borderId="25" applyAlignment="1" pivotButton="0" quotePrefix="0" xfId="0">
      <alignment horizontal="center" vertical="center" readingOrder="2"/>
    </xf>
    <xf numFmtId="164" fontId="17" fillId="3" borderId="26" applyAlignment="1" pivotButton="0" quotePrefix="0" xfId="0">
      <alignment horizontal="center" vertical="center" readingOrder="2"/>
    </xf>
    <xf numFmtId="164" fontId="17" fillId="3" borderId="27" applyAlignment="1" pivotButton="0" quotePrefix="0" xfId="0">
      <alignment horizontal="center" vertical="center" readingOrder="2"/>
    </xf>
    <xf numFmtId="164" fontId="10" fillId="0" borderId="0" applyAlignment="1" pivotButton="0" quotePrefix="0" xfId="0">
      <alignment horizontal="left" vertical="center" readingOrder="2"/>
    </xf>
    <xf numFmtId="9" fontId="1" fillId="0" borderId="28" applyAlignment="1" pivotButton="0" quotePrefix="0" xfId="1">
      <alignment horizontal="center" vertical="center" readingOrder="2"/>
    </xf>
    <xf numFmtId="9" fontId="5" fillId="0" borderId="29" applyAlignment="1" pivotButton="0" quotePrefix="0" xfId="1">
      <alignment horizontal="center" vertical="center" readingOrder="2"/>
    </xf>
    <xf numFmtId="9" fontId="5" fillId="0" borderId="30" applyAlignment="1" pivotButton="0" quotePrefix="0" xfId="1">
      <alignment horizontal="center" vertical="center" readingOrder="2"/>
    </xf>
    <xf numFmtId="164" fontId="1" fillId="0" borderId="28" applyAlignment="1" pivotButton="0" quotePrefix="0" xfId="0">
      <alignment horizontal="center" vertical="center" readingOrder="2"/>
    </xf>
    <xf numFmtId="9" fontId="0" fillId="0" borderId="28" applyAlignment="1" pivotButton="0" quotePrefix="0" xfId="1">
      <alignment horizontal="center" vertical="center" readingOrder="2"/>
    </xf>
    <xf numFmtId="164" fontId="18" fillId="3" borderId="0" applyAlignment="1" pivotButton="0" quotePrefix="0" xfId="4">
      <alignment horizontal="right" vertical="center" indent="1" readingOrder="2"/>
    </xf>
    <xf numFmtId="164" fontId="18" fillId="3" borderId="0" applyAlignment="1" pivotButton="0" quotePrefix="0" xfId="4">
      <alignment horizontal="left" vertical="center" indent="1" readingOrder="2"/>
    </xf>
    <xf numFmtId="164" fontId="18" fillId="3" borderId="9" applyAlignment="1" pivotButton="0" quotePrefix="0" xfId="4">
      <alignment horizontal="left" vertical="center" indent="1" readingOrder="2"/>
    </xf>
    <xf numFmtId="164" fontId="18" fillId="3" borderId="0" applyAlignment="1" pivotButton="0" quotePrefix="0" xfId="4">
      <alignment horizontal="right" vertical="center" indent="1" readingOrder="2"/>
    </xf>
    <xf numFmtId="164" fontId="18" fillId="3" borderId="0" applyAlignment="1" pivotButton="0" quotePrefix="0" xfId="4">
      <alignment horizontal="left" vertical="center" indent="1" readingOrder="2"/>
    </xf>
    <xf numFmtId="164" fontId="5" fillId="5" borderId="7" applyAlignment="1" pivotButton="0" quotePrefix="0" xfId="0">
      <alignment horizontal="right" vertical="center" indent="1" readingOrder="2"/>
    </xf>
    <xf numFmtId="164" fontId="5" fillId="5" borderId="8" applyAlignment="1" pivotButton="0" quotePrefix="0" xfId="0">
      <alignment horizontal="left" vertical="center" indent="1" readingOrder="2"/>
    </xf>
    <xf numFmtId="164" fontId="5" fillId="5" borderId="2" applyAlignment="1" pivotButton="0" quotePrefix="0" xfId="0">
      <alignment horizontal="left" vertical="center" indent="1" readingOrder="2"/>
    </xf>
    <xf numFmtId="164" fontId="5" fillId="5" borderId="0" applyAlignment="1" pivotButton="0" quotePrefix="0" xfId="0">
      <alignment horizontal="right" vertical="center" indent="1" readingOrder="2"/>
    </xf>
    <xf numFmtId="164" fontId="4" fillId="5" borderId="4" applyAlignment="1" pivotButton="0" quotePrefix="0" xfId="0">
      <alignment horizontal="right" vertical="center" indent="1" readingOrder="2"/>
    </xf>
    <xf numFmtId="164" fontId="4" fillId="5" borderId="1" applyAlignment="1" pivotButton="0" quotePrefix="0" xfId="0">
      <alignment horizontal="left" vertical="center" indent="1" readingOrder="2"/>
    </xf>
    <xf numFmtId="164" fontId="4" fillId="5" borderId="2" applyAlignment="1" pivotButton="0" quotePrefix="0" xfId="0">
      <alignment horizontal="left" vertical="center" indent="1" readingOrder="2"/>
    </xf>
    <xf numFmtId="164" fontId="1" fillId="5" borderId="0" applyAlignment="1" pivotButton="0" quotePrefix="0" xfId="0">
      <alignment horizontal="right" vertical="center" indent="1" readingOrder="2"/>
    </xf>
    <xf numFmtId="164" fontId="1" fillId="5" borderId="0" applyAlignment="1" pivotButton="0" quotePrefix="0" xfId="0">
      <alignment horizontal="left" vertical="center" indent="1" readingOrder="2"/>
    </xf>
    <xf numFmtId="164" fontId="12" fillId="0" borderId="17" applyAlignment="1" pivotButton="0" quotePrefix="0" xfId="0">
      <alignment horizontal="right" vertical="center" wrapText="1" readingOrder="2"/>
    </xf>
    <xf numFmtId="164" fontId="1" fillId="0" borderId="14" applyAlignment="1" pivotButton="0" quotePrefix="0" xfId="0">
      <alignment horizontal="right" vertical="center" wrapText="1" readingOrder="2"/>
    </xf>
    <xf numFmtId="164" fontId="1" fillId="0" borderId="15" applyAlignment="1" pivotButton="0" quotePrefix="0" xfId="0">
      <alignment horizontal="right" vertical="center" wrapText="1" readingOrder="2"/>
    </xf>
    <xf numFmtId="164" fontId="17" fillId="3" borderId="20" applyAlignment="1" pivotButton="0" quotePrefix="0" xfId="0">
      <alignment horizontal="center" vertical="center" readingOrder="2"/>
    </xf>
    <xf numFmtId="164" fontId="17" fillId="3" borderId="12" applyAlignment="1" pivotButton="0" quotePrefix="0" xfId="0">
      <alignment horizontal="center" vertical="center" readingOrder="2"/>
    </xf>
    <xf numFmtId="164" fontId="13" fillId="5" borderId="12" applyAlignment="1" pivotButton="0" quotePrefix="0" xfId="0">
      <alignment horizontal="center" vertical="center" readingOrder="2"/>
    </xf>
    <xf numFmtId="9" fontId="15" fillId="0" borderId="13" applyAlignment="1" pivotButton="0" quotePrefix="0" xfId="1">
      <alignment horizontal="center" vertical="center" readingOrder="2"/>
    </xf>
    <xf numFmtId="166" fontId="10" fillId="0" borderId="20" applyAlignment="1" pivotButton="0" quotePrefix="0" xfId="0">
      <alignment horizontal="center" vertical="center" wrapText="1" readingOrder="2"/>
    </xf>
    <xf numFmtId="166" fontId="10" fillId="0" borderId="12" applyAlignment="1" pivotButton="0" quotePrefix="0" xfId="0">
      <alignment horizontal="center" vertical="center" wrapText="1" readingOrder="2"/>
    </xf>
    <xf numFmtId="164" fontId="12" fillId="0" borderId="16" applyAlignment="1" pivotButton="0" quotePrefix="0" xfId="0">
      <alignment horizontal="right" vertical="center" wrapText="1" readingOrder="2"/>
    </xf>
    <xf numFmtId="164" fontId="1" fillId="0" borderId="0" applyAlignment="1" pivotButton="0" quotePrefix="0" xfId="0">
      <alignment horizontal="right" vertical="center" wrapText="1" readingOrder="2"/>
    </xf>
    <xf numFmtId="164" fontId="12" fillId="0" borderId="31" applyAlignment="1" pivotButton="0" quotePrefix="0" xfId="0">
      <alignment horizontal="right" vertical="center" wrapText="1" readingOrder="2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3" pivotButton="0" quotePrefix="0" xfId="0"/>
  </cellXfs>
  <cellStyles count="5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</cellStyles>
  <dxfs count="88">
    <dxf>
      <font>
        <name val="Tahoma"/>
        <family val="2"/>
        <strike val="0"/>
        <outline val="0"/>
        <shadow val="0"/>
        <condense val="0"/>
        <color theme="1" tint="0.249946592608417"/>
        <extend val="0"/>
        <sz val="10"/>
        <vertAlign val="baseline"/>
      </font>
      <numFmt numFmtId="167" formatCode="&quot;$&quot;#,##0.00"/>
      <alignment horizontal="left" vertical="center" readingOrder="2"/>
      <border>
        <left style="thin">
          <color theme="9" tint="-0.249977111117893"/>
        </left>
        <right/>
        <vertical/>
      </border>
    </dxf>
    <dxf>
      <border outline="0">
        <top style="medium">
          <color rgb="FF71874B"/>
        </top>
      </border>
    </dxf>
    <dxf>
      <font>
        <name val="Tahoma"/>
        <family val="2"/>
        <b val="1"/>
        <strike val="0"/>
        <outline val="0"/>
        <shadow val="0"/>
        <condense val="0"/>
        <color theme="4" tint="-0.499984740745262"/>
        <extend val="0"/>
        <sz val="9"/>
        <vertAlign val="baseline"/>
      </font>
      <numFmt numFmtId="164" formatCode="[$EGP]\ #,##0"/>
      <fill>
        <patternFill>
          <fgColor indexed="64"/>
          <bgColor indexed="65"/>
        </patternFill>
      </fill>
      <alignment horizontal="left" vertical="center" indent="1" readingOrder="2"/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  <numFmt numFmtId="0" formatCode="General"/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font>
        <name val="Tahoma"/>
        <family val="2"/>
        <b val="1"/>
        <strike val="0"/>
        <outline val="0"/>
        <shadow val="0"/>
        <color theme="1" tint="0.249946592608417"/>
        <sz val="11"/>
        <vertAlign val="baseline"/>
      </font>
    </dxf>
    <dxf>
      <border outline="0">
        <top style="medium">
          <color theme="4" tint="-0.249946592608417"/>
        </top>
      </border>
    </dxf>
    <dxf>
      <font>
        <name val="Tahoma"/>
        <family val="2"/>
        <b val="1"/>
        <strike val="0"/>
        <outline val="0"/>
        <shadow val="0"/>
        <condense val="0"/>
        <color theme="0"/>
        <extend val="0"/>
        <sz val="9"/>
        <vertAlign val="baseline"/>
      </font>
      <numFmt numFmtId="164" formatCode="[$EGP]\ #,##0"/>
      <fill>
        <patternFill patternType="solid">
          <fgColor indexed="64"/>
          <bgColor theme="8" tint="0.3999755851924192"/>
        </patternFill>
      </fill>
      <alignment horizontal="left" vertical="center" indent="1" readingOrder="2"/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indent="1" readingOrder="2"/>
    </dxf>
    <dxf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color theme="0"/>
        <sz val="9"/>
        <vertAlign val="baseline"/>
      </font>
      <numFmt numFmtId="164" formatCode="[$EGP]\ #,##0"/>
      <fill>
        <patternFill patternType="solid">
          <fgColor indexed="64"/>
          <bgColor theme="8" tint="0.3999755851924192"/>
        </patternFill>
      </fill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indent="1" readingOrder="2"/>
    </dxf>
    <dxf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color theme="0"/>
        <sz val="9"/>
        <vertAlign val="baseline"/>
      </font>
      <numFmt numFmtId="164" formatCode="[$EGP]\ #,##0"/>
      <fill>
        <patternFill patternType="solid">
          <fgColor indexed="64"/>
          <bgColor theme="8" tint="0.3999755851924192"/>
        </patternFill>
      </fill>
    </dxf>
    <dxf>
      <border outline="0">
        <top style="medium">
          <color theme="4" tint="-0.249946592608417"/>
        </top>
      </border>
    </dxf>
    <dxf>
      <font>
        <name val="Tahoma"/>
        <family val="2"/>
        <b val="1"/>
        <strike val="0"/>
        <outline val="0"/>
        <shadow val="0"/>
        <condense val="0"/>
        <color theme="4" tint="-0.499984740745262"/>
        <extend val="0"/>
        <sz val="9"/>
        <vertAlign val="baseline"/>
      </font>
      <numFmt numFmtId="164" formatCode="[$EGP]\ #,##0"/>
      <fill>
        <patternFill>
          <fgColor indexed="64"/>
          <bgColor indexed="65"/>
        </patternFill>
      </fill>
      <alignment horizontal="left" vertical="center" indent="1" readingOrder="2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indent="1" readingOrder="2"/>
    </dxf>
    <dxf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color theme="4" tint="-0.499984740745262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numFmt numFmtId="164" formatCode="[$EGP]\ #,##0"/>
      <alignment horizontal="lef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left" vertical="center" indent="1" readingOrder="2"/>
    </dxf>
    <dxf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  <alignment horizontal="right" vertical="center" indent="1" readingOrder="2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vertAlign val="baseline"/>
      </font>
      <numFmt numFmtId="164" formatCode="[$EGP]\ #,##0"/>
    </dxf>
    <dxf>
      <font>
        <name val="Tahoma"/>
        <family val="2"/>
        <strike val="0"/>
        <outline val="0"/>
        <shadow val="0"/>
        <color theme="4" tint="-0.499984740745262"/>
        <vertAlign val="baseline"/>
      </font>
      <numFmt numFmtId="164" formatCode="[$EGP]\ #,##0"/>
    </dxf>
    <dxf>
      <border>
        <left style="dotted">
          <color theme="4" tint="0.5999633777886288"/>
        </left>
      </border>
    </dxf>
    <dxf>
      <fill>
        <patternFill>
          <bgColor theme="0" tint="-0.0499893185216834"/>
        </patternFill>
      </fill>
    </dxf>
    <dxf>
      <border>
        <left style="dotted">
          <color theme="4" tint="0.5999633777886288"/>
        </left>
        <right/>
        <top/>
        <bottom/>
        <vertical/>
        <horizontal/>
      </border>
    </dxf>
    <dxf>
      <font>
        <b val="1"/>
        <color theme="1" tint="0.3499862666707358"/>
      </font>
      <border>
        <left/>
        <right/>
        <top style="dotted">
          <color theme="4" tint="0.5999633777886288"/>
        </top>
        <bottom style="dotted">
          <color theme="4" tint="0.5999633777886288"/>
        </bottom>
        <vertical/>
        <horizontal/>
      </border>
    </dxf>
    <dxf>
      <font>
        <color theme="4" tint="-0.499984740745262"/>
      </font>
      <fill>
        <patternFill>
          <fgColor indexed="64"/>
          <bgColor auto="1"/>
        </patternFill>
      </fill>
      <border>
        <left/>
        <right/>
        <top style="medium">
          <color theme="4" tint="-0.249946592608417"/>
        </top>
        <bottom style="dotted">
          <color theme="4" tint="0.5999633777886288"/>
        </bottom>
        <vertical/>
        <horizontal/>
      </border>
    </dxf>
    <dxf>
      <font>
        <color theme="1" tint="0.3499862666707358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b val="1"/>
      </font>
      <fill>
        <patternFill>
          <bgColor theme="5" tint="0.7999816888943144"/>
        </patternFill>
      </fill>
      <border>
        <left style="medium">
          <color theme="5" tint="-0.249946592608417"/>
        </left>
        <right style="medium">
          <color theme="5" tint="-0.249946592608417"/>
        </right>
        <top style="medium">
          <color theme="5" tint="-0.249946592608417"/>
        </top>
        <bottom style="medium">
          <color theme="5" tint="-0.249946592608417"/>
        </bottom>
      </border>
    </dxf>
  </dxfs>
  <tableStyles count="4" defaultTableStyle="TableStyleMedium2" defaultPivotStyle="PivotStyleLight16">
    <tableStyle name="Invisible" pivot="0" table="0" count="0"/>
    <tableStyle name="Slicer Style 1" pivot="0" table="0" count="1">
      <tableStyleElement type="wholeTable" dxfId="87"/>
    </tableStyle>
    <tableStyle name="Slicer Style 2" pivot="0" table="0" count="2"/>
    <tableStyle name="مصروفات الشركة الناشئة" pivot="0" count="6">
      <tableStyleElement type="wholeTable" dxfId="86"/>
      <tableStyleElement type="headerRow" dxfId="85"/>
      <tableStyleElement type="totalRow" dxfId="84"/>
      <tableStyleElement type="lastColumn" dxfId="83"/>
      <tableStyleElement type="secondRowStripe" dxfId="82"/>
      <tableStyleElement type="lastTotalCell" dxfId="8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NP" refreshedDate="45896.03123368056" createdVersion="8" refreshedVersion="8" minRefreshableVersion="3" recordCount="14" r:id="rId1">
  <cacheSource type="worksheet">
    <worksheetSource name="Table812"/>
  </cacheSource>
  <cacheFields count="9">
    <cacheField name="الإنشائات" uniqueList="1" numFmtId="164" sqlType="0" hierarchy="0" level="0" databaseField="1">
      <sharedItems count="14">
        <s v="عنابر التربية"/>
        <s v="الحجر البيطري وغرف العزل"/>
        <s v="ابار تخمير الكومبوست"/>
        <s v="حواجز الحظائر وخطوط الأعلاف"/>
        <s v="شبكات الصرف وتجفيف أرضيات العنابر"/>
        <s v="خط تغذية التيار ولوحة التوزيع "/>
        <s v="الإنارة والكاميرات وأنظمة التحكم "/>
        <s v="بلتات تخزين قش الرز"/>
        <s v="الخزانات ونظام توزيع مياه الشرب"/>
        <s v="جرار زراعي 20 حصان"/>
        <s v="مفرمة للقش "/>
        <s v="مقطورة للجرار"/>
        <s v="عزاقة ومكنسة ملحقة بالجرار"/>
        <s v="تجهيزات الحجر البيطري"/>
      </sharedItems>
    </cacheField>
    <cacheField name="المبلغ بالجنيه" uniqueList="1" numFmtId="164" sqlType="0" hierarchy="0" level="0" databaseField="1">
      <sharedItems count="0" containsInteger="1" containsNumber="1" containsSemiMixedTypes="0" containsString="0" minValue="36500" maxValue="2182020"/>
    </cacheField>
    <cacheField name="عند التعاقد" uniqueList="1" numFmtId="164" sqlType="0" hierarchy="0" level="0" databaseField="1">
      <sharedItems count="0" containsInteger="1" containsNumber="1" containsSemiMixedTypes="0" containsString="0" minValue="0" maxValue="1527414"/>
    </cacheField>
    <cacheField name="الأسبوع 1" uniqueList="1" numFmtId="164" sqlType="0" hierarchy="0" level="0" databaseField="1">
      <sharedItems count="5" containsInteger="1" containsNumber="1" containsSemiMixedTypes="0" containsString="0" minValue="0" maxValue="73500">
        <n v="0"/>
        <n v="42000"/>
        <n v="73500"/>
        <n v="38000"/>
        <n v="52500"/>
      </sharedItems>
    </cacheField>
    <cacheField name="الأسبوع 2" uniqueList="1" numFmtId="164" sqlType="0" hierarchy="0" level="0" databaseField="1">
      <sharedItems count="5" containsInteger="1" containsNumber="1" containsSemiMixedTypes="0" containsString="0" minValue="0" maxValue="218202">
        <n v="218202"/>
        <n v="0"/>
        <n v="21000"/>
        <n v="25950"/>
        <n v="44000"/>
      </sharedItems>
    </cacheField>
    <cacheField name="الأسبوع 3" uniqueList="1" numFmtId="164" sqlType="0" hierarchy="0" level="0" databaseField="1">
      <sharedItems count="5" containsInteger="1" containsNumber="1" containsSemiMixedTypes="0" containsString="0" minValue="0" maxValue="147000">
        <n v="109101"/>
        <n v="147000"/>
        <n v="0"/>
        <n v="29400"/>
        <n v="11000"/>
      </sharedItems>
    </cacheField>
    <cacheField name="الأسبوع 4" uniqueList="1" numFmtId="164" sqlType="0" hierarchy="0" level="0" databaseField="1">
      <sharedItems count="8" containsInteger="1" containsNumber="1" containsSemiMixedTypes="0" containsString="0" minValue="0" maxValue="109101">
        <n v="109101"/>
        <n v="0"/>
        <n v="25950"/>
        <n v="20000"/>
        <n v="60000"/>
        <n v="80000"/>
        <n v="65000"/>
        <n v="36500"/>
      </sharedItems>
    </cacheField>
    <cacheField name="الأسبوع 5" uniqueList="1" numFmtId="164" sqlType="0" hierarchy="0" level="0" databaseField="1">
      <sharedItems count="2" containsInteger="1" containsNumber="1" containsSemiMixedTypes="0" containsString="0" minValue="0" maxValue="218202">
        <n v="218202"/>
        <n v="0"/>
      </sharedItems>
    </cacheField>
    <cacheField name="إجمالي البند" uniqueList="1" numFmtId="164" sqlType="0" hierarchy="0" level="0" databaseField="1">
      <sharedItems count="0" containsInteger="1" containsNumber="1" containsSemiMixedTypes="0" containsString="0" minValue="36500" maxValue="2182020"/>
    </cacheField>
  </cacheFields>
</pivotCacheDefinition>
</file>

<file path=xl/pivotCache/pivotCacheRecords1.xml><?xml version="1.0" encoding="utf-8"?>
<pivotCacheRecords xmlns="http://schemas.openxmlformats.org/spreadsheetml/2006/main" count="14">
  <r>
    <x v="0"/>
    <n v="2182020"/>
    <n v="1527414"/>
    <x v="0"/>
    <x v="0"/>
    <x v="0"/>
    <x v="0"/>
    <x v="0"/>
    <n v="2182020"/>
  </r>
  <r>
    <x v="1"/>
    <n v="147000"/>
    <n v="0"/>
    <x v="0"/>
    <x v="1"/>
    <x v="1"/>
    <x v="1"/>
    <x v="1"/>
    <n v="147000"/>
  </r>
  <r>
    <x v="2"/>
    <n v="84000"/>
    <n v="21000"/>
    <x v="1"/>
    <x v="2"/>
    <x v="2"/>
    <x v="1"/>
    <x v="1"/>
    <n v="84000"/>
  </r>
  <r>
    <x v="3"/>
    <n v="259500"/>
    <n v="207600"/>
    <x v="0"/>
    <x v="3"/>
    <x v="2"/>
    <x v="2"/>
    <x v="1"/>
    <n v="259500"/>
  </r>
  <r>
    <x v="4"/>
    <n v="147000"/>
    <n v="44100"/>
    <x v="2"/>
    <x v="1"/>
    <x v="3"/>
    <x v="1"/>
    <x v="1"/>
    <n v="147000"/>
  </r>
  <r>
    <x v="5"/>
    <n v="95000"/>
    <n v="57000"/>
    <x v="3"/>
    <x v="1"/>
    <x v="2"/>
    <x v="1"/>
    <x v="1"/>
    <n v="95000"/>
  </r>
  <r>
    <x v="6"/>
    <n v="55000"/>
    <n v="0"/>
    <x v="0"/>
    <x v="4"/>
    <x v="4"/>
    <x v="1"/>
    <x v="1"/>
    <n v="55000"/>
  </r>
  <r>
    <x v="7"/>
    <n v="52500"/>
    <n v="0"/>
    <x v="4"/>
    <x v="1"/>
    <x v="2"/>
    <x v="1"/>
    <x v="1"/>
    <n v="52500"/>
  </r>
  <r>
    <x v="8"/>
    <n v="100000"/>
    <n v="80000"/>
    <x v="0"/>
    <x v="1"/>
    <x v="2"/>
    <x v="3"/>
    <x v="1"/>
    <n v="100000"/>
  </r>
  <r>
    <x v="9"/>
    <n v="250000"/>
    <n v="250000"/>
    <x v="0"/>
    <x v="1"/>
    <x v="2"/>
    <x v="1"/>
    <x v="1"/>
    <n v="250000"/>
  </r>
  <r>
    <x v="10"/>
    <n v="60000"/>
    <n v="0"/>
    <x v="0"/>
    <x v="1"/>
    <x v="2"/>
    <x v="4"/>
    <x v="1"/>
    <n v="60000"/>
  </r>
  <r>
    <x v="11"/>
    <n v="80000"/>
    <n v="0"/>
    <x v="0"/>
    <x v="1"/>
    <x v="2"/>
    <x v="5"/>
    <x v="1"/>
    <n v="80000"/>
  </r>
  <r>
    <x v="12"/>
    <n v="65000"/>
    <n v="0"/>
    <x v="0"/>
    <x v="1"/>
    <x v="2"/>
    <x v="6"/>
    <x v="1"/>
    <n v="65000"/>
  </r>
  <r>
    <x v="13"/>
    <n v="36500"/>
    <n v="0"/>
    <x v="0"/>
    <x v="1"/>
    <x v="2"/>
    <x v="7"/>
    <x v="1"/>
    <n v="365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18" firstHeaderRow="0" firstDataRow="1" firstDataCol="1"/>
  <pivotFields count="9"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2"/>
        <item t="data" sd="1" x="6"/>
        <item t="data" sd="1" x="1"/>
        <item t="data" sd="1" x="8"/>
        <item t="data" sd="1" x="7"/>
        <item t="data" sd="1" x="13"/>
        <item t="data" sd="1" x="9"/>
        <item t="data" sd="1" x="3"/>
        <item t="data" sd="1" x="5"/>
        <item t="data" sd="1" x="4"/>
        <item t="data" sd="1" x="12"/>
        <item t="data" sd="1" x="0"/>
        <item t="data" sd="1" x="10"/>
        <item t="data" sd="1" x="1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>
      <items count="9">
        <item t="data" sd="1" x="1"/>
        <item t="data" sd="1" x="3"/>
        <item t="data" sd="1" x="2"/>
        <item t="data" sd="1" x="7"/>
        <item t="data" sd="1" x="4"/>
        <item t="data" sd="1" x="6"/>
        <item t="data" sd="1" x="5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عند التعاقد" fld="2" subtotal="sum" showDataAs="normal" baseField="0" baseItem="0" numFmtId="164"/>
    <dataField name="Sum of الأسبوع 1" fld="3" subtotal="sum" showDataAs="normal" baseField="0" baseItem="0" numFmtId="164"/>
    <dataField name="Sum of الأسبوع 2" fld="4" subtotal="sum" showDataAs="normal" baseField="0" baseItem="0" numFmtId="164"/>
    <dataField name="Sum of الأسبوع 3" fld="5" subtotal="sum" showDataAs="normal" baseField="0" baseItem="0" numFmtId="164"/>
    <dataField name="Sum of الأسبوع 4" fld="6" subtotal="sum" showDataAs="normal" baseField="0" baseItem="0" numFmtId="164"/>
    <dataField name="Sum of الأسبوع 5" fld="7" subtotal="sum" showDataAs="normal" baseField="0" baseItem="0" numFmtId="164"/>
    <dataField name="Sum of إجمالي البند" fld="8" subtotal="sum" showDataAs="normal" baseField="0" baseItem="0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البنية_التحتية_و_الخدمات" displayName="البنية_التحتية_و_الخدمات" ref="B13:I19" headerRowCount="1" totalsRowCount="1" headerRowDxfId="80" dataDxfId="79" totalsRowDxfId="78">
  <tableColumns count="8">
    <tableColumn id="1" name="البنية التحتية والخدمات " totalsRowLabel="الإجمالي" dataDxfId="77" totalsRowDxfId="76"/>
    <tableColumn id="2" name="المبلغ بالجنيه" totalsRowFunction="sum" dataDxfId="75" totalsRowDxfId="74"/>
    <tableColumn id="4" name="عند التعاقد" totalsRowFunction="custom" dataDxfId="73" totalsRowDxfId="72">
      <totalsRowFormula>SUM(D14:D18)</totalsRowFormula>
    </tableColumn>
    <tableColumn id="5" name="الأسبوع 1" totalsRowFunction="custom" dataDxfId="71" totalsRowDxfId="70">
      <totalsRowFormula>SUM(E14:E18)</totalsRowFormula>
    </tableColumn>
    <tableColumn id="6" name="الأسبوع 2" totalsRowFunction="custom" dataDxfId="69" totalsRowDxfId="68">
      <totalsRowFormula>SUM(F14:F18)</totalsRowFormula>
    </tableColumn>
    <tableColumn id="7" name="الأسبوع 3" totalsRowFunction="custom" dataDxfId="67" totalsRowDxfId="66">
      <totalsRowFormula>SUM(G14:G18)</totalsRowFormula>
    </tableColumn>
    <tableColumn id="8" name="الأسبوع 4" totalsRowFunction="custom" dataDxfId="65" totalsRowDxfId="64">
      <totalsRowFormula>SUM(H14:H18)</totalsRowFormula>
    </tableColumn>
    <tableColumn id="9" name="الأسبوع 5" totalsRowFunction="custom" dataDxfId="63" totalsRowDxfId="62">
      <totalsRowFormula>SUM(I14:I18)</totalsRowFormula>
    </tableColumn>
  </tableColumns>
  <tableStyleInfo name="مصروفات الشركة الناشئة" showFirstColumn="0" showLastColumn="1" showRowStripes="1" showColumnStripes="0"/>
</table>
</file>

<file path=xl/tables/table2.xml><?xml version="1.0" encoding="utf-8"?>
<table xmlns="http://schemas.openxmlformats.org/spreadsheetml/2006/main" id="2" name="المعدات_والتجهيزات" displayName="المعدات_والتجهيزات" ref="B21:I27" headerRowCount="1" totalsRowCount="1" headerRowDxfId="61" dataDxfId="60" totalsRowDxfId="59">
  <tableColumns count="8">
    <tableColumn id="1" name="المعدات والتجهيزات " totalsRowLabel="الإجمالي" dataDxfId="58" totalsRowDxfId="57"/>
    <tableColumn id="2" name="المبلغ بالجنيه" totalsRowFunction="sum" dataDxfId="56" totalsRowDxfId="55"/>
    <tableColumn id="4" name="عند التعاقد" totalsRowFunction="custom" dataDxfId="54" totalsRowDxfId="53">
      <totalsRowFormula>SUM(D22:D26)</totalsRowFormula>
    </tableColumn>
    <tableColumn id="5" name="الأسبوع 1" totalsRowFunction="custom" dataDxfId="52" totalsRowDxfId="51">
      <calculatedColumnFormula>0*المعدات_والتجهيزات[[#This Row],[المبلغ بالجنيه]]</calculatedColumnFormula>
      <totalsRowFormula>SUM(E22:E26)</totalsRowFormula>
    </tableColumn>
    <tableColumn id="6" name="الأسبوع 2" totalsRowFunction="custom" dataDxfId="50" totalsRowDxfId="49">
      <calculatedColumnFormula>0*المعدات_والتجهيزات[[#This Row],[المبلغ بالجنيه]]</calculatedColumnFormula>
      <totalsRowFormula>SUM(F22:F26)</totalsRowFormula>
    </tableColumn>
    <tableColumn id="7" name="الأسبوع 3" totalsRowFunction="custom" dataDxfId="48" totalsRowDxfId="47">
      <calculatedColumnFormula>0*المعدات_والتجهيزات[[#This Row],[المبلغ بالجنيه]]</calculatedColumnFormula>
      <totalsRowFormula>SUM(G22:G26)</totalsRowFormula>
    </tableColumn>
    <tableColumn id="8" name="الأسبوع 4" totalsRowFunction="custom" dataDxfId="46" totalsRowDxfId="45">
      <calculatedColumnFormula>المعدات_والتجهيزات[[#This Row],[المبلغ بالجنيه]]</calculatedColumnFormula>
      <totalsRowFormula>SUM(H22:H26)</totalsRowFormula>
    </tableColumn>
    <tableColumn id="9" name="الأسبوع 5" totalsRowFunction="custom" dataDxfId="44" totalsRowDxfId="43">
      <calculatedColumnFormula>0*المعدات_والتجهيزات[[#This Row],[المبلغ بالجنيه]]</calculatedColumnFormula>
      <totalsRowFormula>SUM(I22:I26)</totalsRowFormula>
    </tableColumn>
  </tableColumns>
  <tableStyleInfo name="مصروفات الشركة الناشئة" showFirstColumn="0" showLastColumn="1" showRowStripes="1" showColumnStripes="0"/>
</table>
</file>

<file path=xl/tables/table3.xml><?xml version="1.0" encoding="utf-8"?>
<table xmlns="http://schemas.openxmlformats.org/spreadsheetml/2006/main" id="3" name="Table8" displayName="Table8" ref="B6:I12" headerRowCount="1" totalsRowShown="0" headerRowDxfId="42" tableBorderDxfId="41" headerRowCellStyle="Heading 2">
  <autoFilter ref="B6:I1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1" name="الإنشائات"/>
    <tableColumn id="3" name="المبلغ بالجنيه"/>
    <tableColumn id="4" name="عند التعاقد"/>
    <tableColumn id="5" name="الأسبوع 1"/>
    <tableColumn id="6" name="الأسبوع 2"/>
    <tableColumn id="7" name="الأسبوع 3"/>
    <tableColumn id="8" name="الأسبوع 4"/>
    <tableColumn id="9" name="الأسبوع 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البنية_التحتية_و_الخدمات7" displayName="البنية_التحتية_و_الخدمات7" ref="B17:F23" headerRowCount="1" totalsRowCount="1" headerRowDxfId="40" dataDxfId="39" totalsRowDxfId="38">
  <tableColumns count="5">
    <tableColumn id="1" name="البنية التحتية والخدمات " totalsRowLabel="الإجمالي" dataDxfId="37" totalsRowDxfId="36"/>
    <tableColumn id="2" name="المبلغ بالجنيه" totalsRowFunction="sum" dataDxfId="35" totalsRowDxfId="34"/>
    <tableColumn id="4" name="عند التعاقد" totalsRowFunction="custom" dataDxfId="33" totalsRowDxfId="32">
      <calculatedColumnFormula>البنية_التحتية_و_الخدمات7[[#This Row],[المبلغ بالجنيه]]*0.6</calculatedColumnFormula>
      <totalsRowFormula>SUM(D18:D22)</totalsRowFormula>
    </tableColumn>
    <tableColumn id="6" name="الأسبوع 2" totalsRowFunction="custom" dataDxfId="31" totalsRowDxfId="30">
      <calculatedColumnFormula>البنية_التحتية_و_الخدمات7[[#This Row],[المبلغ بالجنيه]]*0.25</calculatedColumnFormula>
      <totalsRowFormula>SUM(E18:E22)</totalsRowFormula>
    </tableColumn>
    <tableColumn id="8" name="الأسبوع 4" totalsRowFunction="custom" dataDxfId="29" totalsRowDxfId="28">
      <calculatedColumnFormula>البنية_التحتية_و_الخدمات7[[#This Row],[المبلغ بالجنيه]]*0.15</calculatedColumnFormula>
      <totalsRowFormula>SUM(F18:F22)</totalsRowFormula>
    </tableColumn>
  </tableColumns>
  <tableStyleInfo name="TableStyleMedium2" showFirstColumn="0" showLastColumn="1" showRowStripes="1" showColumnStripes="0"/>
</table>
</file>

<file path=xl/tables/table5.xml><?xml version="1.0" encoding="utf-8"?>
<table xmlns="http://schemas.openxmlformats.org/spreadsheetml/2006/main" id="5" name="المعدات_والتجهيزات8" displayName="المعدات_والتجهيزات8" ref="B25:F31" headerRowCount="1" totalsRowCount="1" headerRowDxfId="27" dataDxfId="26" totalsRowDxfId="25">
  <tableColumns count="5">
    <tableColumn id="1" name="المعدات والتجهيزات " totalsRowLabel="الإجمالي" dataDxfId="24" totalsRowDxfId="23"/>
    <tableColumn id="2" name="المبلغ بالجنيه" totalsRowFunction="sum" dataDxfId="22" totalsRowDxfId="21"/>
    <tableColumn id="4" name="عند التعاقد" totalsRowFunction="custom" dataDxfId="20" totalsRowDxfId="19">
      <calculatedColumnFormula>المعدات_والتجهيزات8[[#This Row],[المبلغ بالجنيه]]*0.6</calculatedColumnFormula>
      <totalsRowFormula>SUM(D26:D30)</totalsRowFormula>
    </tableColumn>
    <tableColumn id="6" name="الأسبوع 2" totalsRowFunction="custom" dataDxfId="18" totalsRowDxfId="17">
      <calculatedColumnFormula>0.25*المعدات_والتجهيزات8[[#This Row],[المبلغ بالجنيه]]</calculatedColumnFormula>
      <totalsRowFormula>SUM(E26:E30)</totalsRowFormula>
    </tableColumn>
    <tableColumn id="8" name="الأسبوع 4" totalsRowFunction="custom" dataDxfId="16" totalsRowDxfId="15">
      <calculatedColumnFormula>المعدات_والتجهيزات8[[#This Row],[المبلغ بالجنيه]]*0.15</calculatedColumnFormula>
      <totalsRowFormula>SUM(F26:F30)</totalsRowFormula>
    </tableColumn>
  </tableColumns>
  <tableStyleInfo name="TableStyleMedium2" showFirstColumn="0" showLastColumn="1" showRowStripes="1" showColumnStripes="0"/>
</table>
</file>

<file path=xl/tables/table6.xml><?xml version="1.0" encoding="utf-8"?>
<table xmlns="http://schemas.openxmlformats.org/spreadsheetml/2006/main" id="6" name="Table810" displayName="Table810" ref="B10:F16" headerRowCount="1" totalsRowShown="0" headerRowDxfId="14" tableBorderDxfId="13" headerRowCellStyle="Heading 2">
  <autoFilter ref="B10:F1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الإنشائات"/>
    <tableColumn id="3" name="المبلغ بالجنيه"/>
    <tableColumn id="4" name="عند التعاقد"/>
    <tableColumn id="6" name="الأسبوع 2"/>
    <tableColumn id="8" name="الأسبوع 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heet5" displayName="Sheet5" ref="A2:H17" tableType="queryTable" headerRowCount="1" totalsRowShown="0" headerRowDxfId="12" dataDxfId="11">
  <autoFilter ref="A2:H17">
    <filterColumn colId="0" hiddenButton="1" showButton="1">
      <filters>
        <filter val="ابار تخمير الكومبوست"/>
        <filter val="الإنارة والكاميرات وأنظمة التحكم"/>
        <filter val="الخزانات ونظام توزيع مياه الشرب"/>
        <filter val="بلتات تخزين قش الرز"/>
        <filter val="جرار زراعي 20 حصان"/>
        <filter val="حواجز الحظائر وخطوط الأعلاف"/>
        <filter val="شبكات الصرف وتجفيف أرضيات العنابر"/>
        <filter val="عزاقة ومكنسة ملحقة بالجرار"/>
        <filter val="عنابر التربية"/>
        <filter val="مفرمة للقش"/>
        <filter val="مقطورة للجرار"/>
      </filters>
    </filterColumn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9" uniqueName="9" name="البند" queryTableFieldId="9" dataDxfId="10"/>
    <tableColumn id="10" uniqueName="10" name="دفعة التعاقد" queryTableFieldId="10" dataDxfId="9"/>
    <tableColumn id="11" uniqueName="11" name="الأسبوع 1" queryTableFieldId="11" dataDxfId="8"/>
    <tableColumn id="12" uniqueName="12" name="الأسبوع 2" queryTableFieldId="12" dataDxfId="7"/>
    <tableColumn id="13" uniqueName="13" name="الأسبوع 3" queryTableFieldId="13" dataDxfId="6"/>
    <tableColumn id="14" uniqueName="14" name="الأسبوع 4" queryTableFieldId="14" dataDxfId="5"/>
    <tableColumn id="15" uniqueName="15" name="الأسبوع 5" queryTableFieldId="15" dataDxfId="4"/>
    <tableColumn id="16" uniqueName="16" name="إجمالي البند" queryTableFieldId="16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12" displayName="Table812" ref="B2:J16" headerRowCount="1" totalsRowShown="0" headerRowDxfId="2" tableBorderDxfId="1" headerRowCellStyle="Heading 2">
  <autoFilter ref="B2:J16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</autoFilter>
  <tableColumns count="9">
    <tableColumn id="1" name="الإنشائات"/>
    <tableColumn id="3" name="المبلغ بالجنيه"/>
    <tableColumn id="4" name="عند التعاقد"/>
    <tableColumn id="5" name="الأسبوع 1"/>
    <tableColumn id="6" name="الأسبوع 2"/>
    <tableColumn id="7" name="الأسبوع 3"/>
    <tableColumn id="8" name="الأسبوع 4"/>
    <tableColumn id="9" name="الأسبوع 5"/>
    <tableColumn id="10" name="إجمالي البند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tartup Expense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AC6C"/>
      </a:accent1>
      <a:accent2>
        <a:srgbClr val="B0381C"/>
      </a:accent2>
      <a:accent3>
        <a:srgbClr val="0B648D"/>
      </a:accent3>
      <a:accent4>
        <a:srgbClr val="6A3A65"/>
      </a:accent4>
      <a:accent5>
        <a:srgbClr val="C06F2B"/>
      </a:accent5>
      <a:accent6>
        <a:srgbClr val="9E8A69"/>
      </a:accent6>
      <a:hlink>
        <a:srgbClr val="0B648D"/>
      </a:hlink>
      <a:folHlink>
        <a:srgbClr val="6A3A65"/>
      </a:folHlink>
    </a:clrScheme>
    <a:fontScheme name="Startup Expense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1:J28"/>
  <sheetViews>
    <sheetView showGridLines="0" rightToLeft="1" topLeftCell="B1" zoomScaleNormal="100" zoomScaleSheetLayoutView="100" workbookViewId="0">
      <selection activeCell="D1" sqref="D1"/>
    </sheetView>
  </sheetViews>
  <sheetFormatPr baseColWidth="8" defaultColWidth="8.88671875" defaultRowHeight="21" customHeight="1"/>
  <cols>
    <col width="2.5546875" customWidth="1" style="1" min="1" max="1"/>
    <col width="27.44140625" customWidth="1" style="1" min="2" max="2"/>
    <col width="15.88671875" bestFit="1" customWidth="1" style="6" min="3" max="3"/>
    <col width="22.6640625" customWidth="1" style="6" min="4" max="4"/>
    <col width="27.88671875" bestFit="1" customWidth="1" style="6" min="5" max="5"/>
    <col width="28.88671875" bestFit="1" customWidth="1" style="6" min="6" max="8"/>
    <col width="25.109375" bestFit="1" customWidth="1" style="6" min="9" max="9"/>
    <col width="12.6640625" bestFit="1" customWidth="1" style="6" min="10" max="10"/>
    <col width="8.88671875" customWidth="1" style="1" min="11" max="16384"/>
  </cols>
  <sheetData>
    <row r="1" ht="54" customFormat="1" customHeight="1" s="48">
      <c r="B1" s="104" t="inlineStr">
        <is>
          <t>دفعات وتواريخ ضخ السيــولــــة بالمشـــروع</t>
        </is>
      </c>
      <c r="C1" s="50" t="n"/>
      <c r="D1" s="51" t="n">
        <v>45897</v>
      </c>
      <c r="E1" s="52">
        <f>D1+6</f>
        <v/>
      </c>
      <c r="F1" s="52">
        <f>E1+7</f>
        <v/>
      </c>
      <c r="G1" s="52">
        <f>F1+7</f>
        <v/>
      </c>
      <c r="H1" s="52">
        <f>G1+7</f>
        <v/>
      </c>
      <c r="I1" s="52">
        <f>H1+7</f>
        <v/>
      </c>
      <c r="J1" s="49" t="n"/>
    </row>
    <row r="2" ht="21" customHeight="1" s="105">
      <c r="B2" s="106" t="n"/>
      <c r="C2" s="44" t="n"/>
      <c r="D2" s="43" t="inlineStr">
        <is>
          <t>دفعة التعاقد</t>
        </is>
      </c>
      <c r="E2" s="43" t="inlineStr">
        <is>
          <t>الأسبوع 1</t>
        </is>
      </c>
      <c r="F2" s="43" t="inlineStr">
        <is>
          <t>الأسبوع 2</t>
        </is>
      </c>
      <c r="G2" s="43" t="inlineStr">
        <is>
          <t>الأسبوع 3</t>
        </is>
      </c>
      <c r="H2" s="43" t="inlineStr">
        <is>
          <t>الأسبوع 4</t>
        </is>
      </c>
      <c r="I2" s="43" t="inlineStr">
        <is>
          <t>الأسبوع 5</t>
        </is>
      </c>
    </row>
    <row r="3" ht="43.5" customHeight="1" s="105">
      <c r="A3" s="20" t="n"/>
      <c r="B3" s="106" t="n"/>
      <c r="C3" s="45">
        <f>STT+البنية_التحتية_و_الخدمات[[#Totals],[المبلغ بالجنيه]]+المعدات_والتجهيزات[[#Totals],[المبلغ بالجنيه]]</f>
        <v/>
      </c>
      <c r="D3" s="46">
        <f>SUM(D11,البنية_التحتية_و_الخدمات[[#Totals],[عند التعاقد]],المعدات_والتجهيزات[[#Totals],[عند التعاقد]])</f>
        <v/>
      </c>
      <c r="E3" s="46">
        <f>SUM(E11,البنية_التحتية_و_الخدمات[[#Totals],[الأسبوع 1]],المعدات_والتجهيزات[[#Totals],[الأسبوع 1]])</f>
        <v/>
      </c>
      <c r="F3" s="46">
        <f>SUM(F11,البنية_التحتية_و_الخدمات[[#Totals],[الأسبوع 2]],المعدات_والتجهيزات[[#Totals],[الأسبوع 2]])</f>
        <v/>
      </c>
      <c r="G3" s="46">
        <f>SUM(G11,البنية_التحتية_و_الخدمات[[#Totals],[الأسبوع 3]],المعدات_والتجهيزات[[#Totals],[الأسبوع 3]])</f>
        <v/>
      </c>
      <c r="H3" s="46">
        <f>SUM(H11,البنية_التحتية_و_الخدمات[[#Totals],[الأسبوع 4]],المعدات_والتجهيزات[[#Totals],[الأسبوع 4]])</f>
        <v/>
      </c>
      <c r="I3" s="46">
        <f>SUM(I11,البنية_التحتية_و_الخدمات[[#Totals],[الأسبوع 5]],المعدات_والتجهيزات[[#Totals],[الأسبوع 5]])</f>
        <v/>
      </c>
      <c r="J3" s="10" t="n"/>
    </row>
    <row r="4" ht="27.75" customHeight="1" s="105" thickBot="1">
      <c r="A4" s="20" t="n"/>
      <c r="B4" s="107" t="n"/>
      <c r="C4" s="47" t="n">
        <v>1</v>
      </c>
      <c r="D4" s="42">
        <f>D3/$C$3</f>
        <v/>
      </c>
      <c r="E4" s="42">
        <f>E3/$C$3</f>
        <v/>
      </c>
      <c r="F4" s="42">
        <f>F3/$C$3</f>
        <v/>
      </c>
      <c r="G4" s="42">
        <f>G3/$C$3</f>
        <v/>
      </c>
      <c r="H4" s="42">
        <f>H3/$C$3</f>
        <v/>
      </c>
      <c r="I4" s="42">
        <f>I3/$C$3</f>
        <v/>
      </c>
      <c r="J4" s="10" t="n"/>
    </row>
    <row r="5" ht="12" customHeight="1" s="105" thickTop="1">
      <c r="A5" s="4" t="n"/>
      <c r="B5" s="19" t="n"/>
    </row>
    <row r="6" ht="21.9" customHeight="1" s="105">
      <c r="A6" s="4" t="n"/>
      <c r="B6" s="29" t="inlineStr">
        <is>
          <t>الإنشائات</t>
        </is>
      </c>
      <c r="C6" s="30" t="inlineStr">
        <is>
          <t>المبلغ بالجنيه</t>
        </is>
      </c>
      <c r="D6" s="31" t="inlineStr">
        <is>
          <t>عند التعاقد</t>
        </is>
      </c>
      <c r="E6" s="31" t="inlineStr">
        <is>
          <t>الأسبوع 1</t>
        </is>
      </c>
      <c r="F6" s="31" t="inlineStr">
        <is>
          <t>الأسبوع 2</t>
        </is>
      </c>
      <c r="G6" s="31" t="inlineStr">
        <is>
          <t>الأسبوع 3</t>
        </is>
      </c>
      <c r="H6" s="31" t="inlineStr">
        <is>
          <t>الأسبوع 4</t>
        </is>
      </c>
      <c r="I6" s="31" t="inlineStr">
        <is>
          <t>الأسبوع 5</t>
        </is>
      </c>
      <c r="J6" s="1" t="n"/>
    </row>
    <row r="7" ht="21" customHeight="1" s="105">
      <c r="A7" s="4" t="n"/>
      <c r="B7" s="24" t="inlineStr">
        <is>
          <t>عنابر التربية</t>
        </is>
      </c>
      <c r="C7" s="25" t="n">
        <v>2662064</v>
      </c>
      <c r="D7" s="13">
        <f>'المصروف الافتتاحي'!$C7*0.7</f>
        <v/>
      </c>
      <c r="E7" s="13">
        <f>'المصروف الافتتاحي'!$C7*0</f>
        <v/>
      </c>
      <c r="F7" s="13">
        <f>'المصروف الافتتاحي'!$C7*0.1</f>
        <v/>
      </c>
      <c r="G7" s="13">
        <f>'المصروف الافتتاحي'!$C7*0.05</f>
        <v/>
      </c>
      <c r="H7" s="13">
        <f>'المصروف الافتتاحي'!$C7*0.05</f>
        <v/>
      </c>
      <c r="I7" s="13">
        <f>'المصروف الافتتاحي'!$C7*0.1</f>
        <v/>
      </c>
      <c r="J7" s="1" t="n"/>
    </row>
    <row r="8" ht="21" customHeight="1" s="105">
      <c r="A8" s="4" t="n"/>
      <c r="B8" s="26" t="inlineStr">
        <is>
          <t>الحجر البيطري وغرف العزل</t>
        </is>
      </c>
      <c r="C8" s="14" t="n">
        <v>173460</v>
      </c>
      <c r="D8" s="14" t="n">
        <v>0</v>
      </c>
      <c r="E8" s="14" t="n">
        <v>0</v>
      </c>
      <c r="F8" s="14" t="n">
        <v>0</v>
      </c>
      <c r="G8" s="14">
        <f>'المصروف الافتتاحي'!$C8</f>
        <v/>
      </c>
      <c r="H8" s="14" t="n">
        <v>0</v>
      </c>
      <c r="I8" s="14" t="n">
        <v>0</v>
      </c>
      <c r="J8" s="1" t="n"/>
    </row>
    <row r="9" ht="21" customHeight="1" s="105">
      <c r="A9" s="4" t="n"/>
      <c r="B9" s="27" t="inlineStr">
        <is>
          <t>ابار تخمير الكومبوست</t>
        </is>
      </c>
      <c r="C9" s="13" t="n">
        <v>96600</v>
      </c>
      <c r="D9" s="13">
        <f>'المصروف الافتتاحي'!$C9*0.25</f>
        <v/>
      </c>
      <c r="E9" s="13">
        <f>'المصروف الافتتاحي'!$C9*0.5</f>
        <v/>
      </c>
      <c r="F9" s="13">
        <f>'المصروف الافتتاحي'!$C9*0.25</f>
        <v/>
      </c>
      <c r="G9" s="13" t="n">
        <v>0</v>
      </c>
      <c r="H9" s="13" t="n">
        <v>0</v>
      </c>
      <c r="I9" s="13" t="n">
        <v>0</v>
      </c>
      <c r="J9" s="1" t="n"/>
    </row>
    <row r="10" ht="21" customHeight="1" s="105">
      <c r="A10" s="4" t="n"/>
      <c r="B10" s="26" t="inlineStr">
        <is>
          <t>حواجز الحظائر وخطوط الأعلاف</t>
        </is>
      </c>
      <c r="C10" s="14" t="n">
        <v>324375</v>
      </c>
      <c r="D10" s="14">
        <f>'المصروف الافتتاحي'!$C10*0.8</f>
        <v/>
      </c>
      <c r="E10" s="14">
        <f>'المصروف الافتتاحي'!$C10*0</f>
        <v/>
      </c>
      <c r="F10" s="14">
        <f>'المصروف الافتتاحي'!$C10*0.1</f>
        <v/>
      </c>
      <c r="G10" s="14">
        <f>'المصروف الافتتاحي'!$C10*0</f>
        <v/>
      </c>
      <c r="H10" s="14">
        <f>'المصروف الافتتاحي'!$C10*0.1</f>
        <v/>
      </c>
      <c r="I10" s="14">
        <f>'المصروف الافتتاحي'!$C10*0</f>
        <v/>
      </c>
      <c r="J10" s="1" t="n"/>
    </row>
    <row r="11" ht="24.9" customHeight="1" s="105">
      <c r="A11" s="4" t="n"/>
      <c r="B11" s="28" t="inlineStr">
        <is>
          <t>الإجمالي</t>
        </is>
      </c>
      <c r="C11" s="12">
        <f>SUBTOTAL(109,'المصروف الافتتاحي'!$C$7:$C$10)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  <c r="H11" s="12">
        <f>SUM(H7:H10)</f>
        <v/>
      </c>
      <c r="I11" s="12">
        <f>SUM(I7:I10)</f>
        <v/>
      </c>
      <c r="J11" s="1" t="n"/>
    </row>
    <row r="12" ht="12" customFormat="1" customHeight="1" s="10" thickBot="1">
      <c r="D12" s="11">
        <f>D11/'المصروف الافتتاحي'!$C$11</f>
        <v/>
      </c>
      <c r="E12" s="18">
        <f>(E11/'المصروف الافتتاحي'!$C$11)</f>
        <v/>
      </c>
      <c r="F12" s="18">
        <f>(F11/'المصروف الافتتاحي'!$C$11)</f>
        <v/>
      </c>
      <c r="G12" s="18">
        <f>(G11/'المصروف الافتتاحي'!$C$11)</f>
        <v/>
      </c>
      <c r="H12" s="18">
        <f>(H11/'المصروف الافتتاحي'!$C$11)</f>
        <v/>
      </c>
      <c r="I12" s="18">
        <f>(I11/'المصروف الافتتاحي'!$C$11)</f>
        <v/>
      </c>
    </row>
    <row r="13" ht="21.9" customHeight="1" s="105">
      <c r="A13" s="4" t="n"/>
      <c r="B13" s="29" t="inlineStr">
        <is>
          <t xml:space="preserve">البنية التحتية والخدمات </t>
        </is>
      </c>
      <c r="C13" s="30" t="inlineStr">
        <is>
          <t>المبلغ بالجنيه</t>
        </is>
      </c>
      <c r="D13" s="15" t="inlineStr">
        <is>
          <t>عند التعاقد</t>
        </is>
      </c>
      <c r="E13" s="15" t="inlineStr">
        <is>
          <t>الأسبوع 1</t>
        </is>
      </c>
      <c r="F13" s="15" t="inlineStr">
        <is>
          <t>الأسبوع 2</t>
        </is>
      </c>
      <c r="G13" s="15" t="inlineStr">
        <is>
          <t>الأسبوع 3</t>
        </is>
      </c>
      <c r="H13" s="15" t="inlineStr">
        <is>
          <t>الأسبوع 4</t>
        </is>
      </c>
      <c r="I13" s="15" t="inlineStr">
        <is>
          <t>الأسبوع 5</t>
        </is>
      </c>
      <c r="J13" s="1" t="n"/>
    </row>
    <row r="14" ht="21" customHeight="1" s="105">
      <c r="A14" s="4" t="n"/>
      <c r="B14" s="7" t="inlineStr">
        <is>
          <t>شبكات الصرف وتجفيف أرضيات العنابر</t>
        </is>
      </c>
      <c r="C14" s="5" t="n">
        <v>173460</v>
      </c>
      <c r="D14" s="13">
        <f>البنية_التحتية_و_الخدمات[[#This Row],[المبلغ بالجنيه]]*0.3</f>
        <v/>
      </c>
      <c r="E14" s="13">
        <f>البنية_التحتية_و_الخدمات[[#This Row],[المبلغ بالجنيه]]*0.5</f>
        <v/>
      </c>
      <c r="F14" s="13" t="n">
        <v>0</v>
      </c>
      <c r="G14" s="13">
        <f>البنية_التحتية_و_الخدمات[[#This Row],[المبلغ بالجنيه]]*0.2</f>
        <v/>
      </c>
      <c r="H14" s="13" t="n">
        <v>0</v>
      </c>
      <c r="I14" s="13" t="n">
        <v>0</v>
      </c>
      <c r="J14" s="1" t="n"/>
    </row>
    <row r="15" ht="21" customHeight="1" s="105">
      <c r="A15" s="4" t="n"/>
      <c r="B15" s="7" t="inlineStr">
        <is>
          <t xml:space="preserve">خط تغذية التيار ولوحة التوزيع </t>
        </is>
      </c>
      <c r="C15" s="5" t="n">
        <v>114000</v>
      </c>
      <c r="D15" s="14">
        <f>0.6*البنية_التحتية_و_الخدمات[[#This Row],[المبلغ بالجنيه]]</f>
        <v/>
      </c>
      <c r="E15" s="14">
        <f>البنية_التحتية_و_الخدمات[[#This Row],[المبلغ بالجنيه]]*0.4</f>
        <v/>
      </c>
      <c r="F15" s="14" t="n">
        <v>0</v>
      </c>
      <c r="G15" s="14" t="n">
        <v>0</v>
      </c>
      <c r="H15" s="14" t="n">
        <v>0</v>
      </c>
      <c r="I15" s="14" t="n">
        <v>0</v>
      </c>
      <c r="J15" s="1" t="n"/>
    </row>
    <row r="16" ht="21" customHeight="1" s="105">
      <c r="A16" s="4" t="n"/>
      <c r="B16" s="7" t="inlineStr">
        <is>
          <t xml:space="preserve">الإنارة والكاميرات وأنظمة التحكم </t>
        </is>
      </c>
      <c r="C16" s="5" t="n">
        <v>63250</v>
      </c>
      <c r="D16" s="13">
        <f>0*البنية_التحتية_و_الخدمات[[#This Row],[المبلغ بالجنيه]]</f>
        <v/>
      </c>
      <c r="E16" s="13">
        <f>البنية_التحتية_و_الخدمات[[#This Row],[المبلغ بالجنيه]]*0</f>
        <v/>
      </c>
      <c r="F16" s="13">
        <f>البنية_التحتية_و_الخدمات[[#This Row],[المبلغ بالجنيه]]*0.8</f>
        <v/>
      </c>
      <c r="G16" s="13">
        <f>البنية_التحتية_و_الخدمات[[#This Row],[المبلغ بالجنيه]]*0.2</f>
        <v/>
      </c>
      <c r="H16" s="13">
        <f>البنية_التحتية_و_الخدمات[[#This Row],[المبلغ بالجنيه]]*0</f>
        <v/>
      </c>
      <c r="I16" s="13">
        <f>البنية_التحتية_و_الخدمات[[#This Row],[المبلغ بالجنيه]]*0</f>
        <v/>
      </c>
      <c r="J16" s="1" t="n"/>
    </row>
    <row r="17" ht="21" customHeight="1" s="105">
      <c r="A17" s="4" t="n"/>
      <c r="B17" s="3" t="inlineStr">
        <is>
          <t>بلتات تخزين قش الرز</t>
        </is>
      </c>
      <c r="C17" s="2" t="n">
        <v>63000</v>
      </c>
      <c r="D17" s="14">
        <f>0*البنية_التحتية_و_الخدمات[[#This Row],[المبلغ بالجنيه]]</f>
        <v/>
      </c>
      <c r="E17" s="14">
        <f>البنية_التحتية_و_الخدمات[[#This Row],[المبلغ بالجنيه]]*1</f>
        <v/>
      </c>
      <c r="F17" s="14">
        <f>البنية_التحتية_و_الخدمات[[#This Row],[المبلغ بالجنيه]]*0</f>
        <v/>
      </c>
      <c r="G17" s="14">
        <f>البنية_التحتية_و_الخدمات[[#This Row],[المبلغ بالجنيه]]*0</f>
        <v/>
      </c>
      <c r="H17" s="14">
        <f>البنية_التحتية_و_الخدمات[[#This Row],[المبلغ بالجنيه]]*0</f>
        <v/>
      </c>
      <c r="I17" s="14">
        <f>البنية_التحتية_و_الخدمات[[#This Row],[المبلغ بالجنيه]]*0</f>
        <v/>
      </c>
      <c r="J17" s="1" t="n"/>
    </row>
    <row r="18" ht="21" customHeight="1" s="105">
      <c r="A18" s="4" t="n"/>
      <c r="B18" s="7" t="inlineStr">
        <is>
          <t>الخزانات ونظام توزيع مياه الشرب</t>
        </is>
      </c>
      <c r="C18" s="5" t="n">
        <v>115000</v>
      </c>
      <c r="D18" s="13">
        <f>البنية_التحتية_و_الخدمات[[#This Row],[المبلغ بالجنيه]]*0.8</f>
        <v/>
      </c>
      <c r="E18" s="13">
        <f>البنية_التحتية_و_الخدمات[[#This Row],[المبلغ بالجنيه]]*0</f>
        <v/>
      </c>
      <c r="F18" s="13">
        <f>البنية_التحتية_و_الخدمات[[#This Row],[المبلغ بالجنيه]]*0</f>
        <v/>
      </c>
      <c r="G18" s="13">
        <f>البنية_التحتية_و_الخدمات[[#This Row],[المبلغ بالجنيه]]*0</f>
        <v/>
      </c>
      <c r="H18" s="13">
        <f>البنية_التحتية_و_الخدمات[[#This Row],[المبلغ بالجنيه]]*0.2</f>
        <v/>
      </c>
      <c r="I18" s="13">
        <f>البنية_التحتية_و_الخدمات[[#This Row],[المبلغ بالجنيه]]*0</f>
        <v/>
      </c>
      <c r="J18" s="1" t="n"/>
    </row>
    <row r="19" ht="24.9" customHeight="1" s="105">
      <c r="A19" s="4" t="n"/>
      <c r="B19" s="3" t="inlineStr">
        <is>
          <t>الإجمالي</t>
        </is>
      </c>
      <c r="C19" s="2">
        <f>SUBTOTAL(109,البنية_التحتية_و_الخدمات[المبلغ بالجنيه])</f>
        <v/>
      </c>
      <c r="D19" s="32">
        <f>SUM(D14:D18)</f>
        <v/>
      </c>
      <c r="E19" s="32">
        <f>SUM(E14:E18)</f>
        <v/>
      </c>
      <c r="F19" s="32">
        <f>SUM(F14:F18)</f>
        <v/>
      </c>
      <c r="G19" s="32">
        <f>SUM(G14:G18)</f>
        <v/>
      </c>
      <c r="H19" s="32">
        <f>SUM(H14:H18)</f>
        <v/>
      </c>
      <c r="I19" s="32">
        <f>SUM(I14:I18)</f>
        <v/>
      </c>
      <c r="J19" s="1" t="n"/>
    </row>
    <row r="20" ht="12" customFormat="1" customHeight="1" s="10" thickBot="1">
      <c r="C20" s="17" t="n"/>
      <c r="D20" s="11">
        <f>D19/البنية_التحتية_و_الخدمات[[#Totals],[المبلغ بالجنيه]]</f>
        <v/>
      </c>
      <c r="E20" s="16">
        <f>E19/البنية_التحتية_و_الخدمات[[#Totals],[المبلغ بالجنيه]]</f>
        <v/>
      </c>
      <c r="F20" s="16">
        <f>F19/البنية_التحتية_و_الخدمات[[#Totals],[المبلغ بالجنيه]]</f>
        <v/>
      </c>
      <c r="G20" s="16">
        <f>G19/البنية_التحتية_و_الخدمات[[#Totals],[المبلغ بالجنيه]]</f>
        <v/>
      </c>
      <c r="H20" s="16">
        <f>H19/البنية_التحتية_و_الخدمات[[#Totals],[المبلغ بالجنيه]]</f>
        <v/>
      </c>
      <c r="I20" s="16">
        <f>I19/البنية_التحتية_و_الخدمات[[#Totals],[المبلغ بالجنيه]]</f>
        <v/>
      </c>
    </row>
    <row r="21" ht="21.9" customHeight="1" s="105">
      <c r="A21" s="4" t="n"/>
      <c r="B21" s="29" t="inlineStr">
        <is>
          <t xml:space="preserve">المعدات والتجهيزات </t>
        </is>
      </c>
      <c r="C21" s="30" t="inlineStr">
        <is>
          <t>المبلغ بالجنيه</t>
        </is>
      </c>
      <c r="D21" s="15" t="inlineStr">
        <is>
          <t>عند التعاقد</t>
        </is>
      </c>
      <c r="E21" s="15" t="inlineStr">
        <is>
          <t>الأسبوع 1</t>
        </is>
      </c>
      <c r="F21" s="15" t="inlineStr">
        <is>
          <t>الأسبوع 2</t>
        </is>
      </c>
      <c r="G21" s="15" t="inlineStr">
        <is>
          <t>الأسبوع 3</t>
        </is>
      </c>
      <c r="H21" s="15" t="inlineStr">
        <is>
          <t>الأسبوع 4</t>
        </is>
      </c>
      <c r="I21" s="15" t="inlineStr">
        <is>
          <t>الأسبوع 5</t>
        </is>
      </c>
      <c r="J21" s="1" t="n"/>
    </row>
    <row r="22" ht="21" customHeight="1" s="105">
      <c r="A22" s="4" t="n"/>
      <c r="B22" s="7" t="inlineStr">
        <is>
          <t>جرار زراعي 20 حصان</t>
        </is>
      </c>
      <c r="C22" s="5" t="n">
        <v>287500</v>
      </c>
      <c r="D22" s="13">
        <f>المعدات_والتجهيزات[[#This Row],[المبلغ بالجنيه]]*0</f>
        <v/>
      </c>
      <c r="E22" s="13">
        <f>1*المعدات_والتجهيزات[[#This Row],[المبلغ بالجنيه]]</f>
        <v/>
      </c>
      <c r="F22" s="13">
        <f>0*المعدات_والتجهيزات[[#This Row],[المبلغ بالجنيه]]</f>
        <v/>
      </c>
      <c r="G22" s="13">
        <f>0*المعدات_والتجهيزات[[#This Row],[المبلغ بالجنيه]]</f>
        <v/>
      </c>
      <c r="H22" s="13">
        <f>0*المعدات_والتجهيزات[[#This Row],[المبلغ بالجنيه]]</f>
        <v/>
      </c>
      <c r="I22" s="13">
        <f>0*المعدات_والتجهيزات[[#This Row],[المبلغ بالجنيه]]</f>
        <v/>
      </c>
      <c r="J22" s="1" t="n"/>
    </row>
    <row r="23" ht="21" customHeight="1" s="105">
      <c r="A23" s="4" t="n"/>
      <c r="B23" s="7" t="inlineStr">
        <is>
          <t xml:space="preserve">مفرمة للقش </t>
        </is>
      </c>
      <c r="C23" s="5" t="n">
        <v>70800</v>
      </c>
      <c r="D23" s="14" t="n">
        <v>0</v>
      </c>
      <c r="E23" s="14">
        <f>0*المعدات_والتجهيزات[[#This Row],[المبلغ بالجنيه]]</f>
        <v/>
      </c>
      <c r="F23" s="14">
        <f>0*المعدات_والتجهيزات[[#This Row],[المبلغ بالجنيه]]</f>
        <v/>
      </c>
      <c r="G23" s="14">
        <f>0*المعدات_والتجهيزات[[#This Row],[المبلغ بالجنيه]]</f>
        <v/>
      </c>
      <c r="H23" s="14">
        <f>المعدات_والتجهيزات[[#This Row],[المبلغ بالجنيه]]</f>
        <v/>
      </c>
      <c r="I23" s="14">
        <f>0*المعدات_والتجهيزات[[#This Row],[المبلغ بالجنيه]]</f>
        <v/>
      </c>
      <c r="J23" s="1" t="n"/>
    </row>
    <row r="24" ht="21" customHeight="1" s="105">
      <c r="A24" s="4" t="n"/>
      <c r="B24" s="7" t="inlineStr">
        <is>
          <t>مقطورة للجرار</t>
        </is>
      </c>
      <c r="C24" s="5" t="n">
        <v>96000</v>
      </c>
      <c r="D24" s="13" t="n">
        <v>0</v>
      </c>
      <c r="E24" s="13">
        <f>0*المعدات_والتجهيزات[[#This Row],[المبلغ بالجنيه]]</f>
        <v/>
      </c>
      <c r="F24" s="13">
        <f>0*المعدات_والتجهيزات[[#This Row],[المبلغ بالجنيه]]</f>
        <v/>
      </c>
      <c r="G24" s="13">
        <f>0*المعدات_والتجهيزات[[#This Row],[المبلغ بالجنيه]]</f>
        <v/>
      </c>
      <c r="H24" s="14">
        <f>المعدات_والتجهيزات[[#This Row],[المبلغ بالجنيه]]</f>
        <v/>
      </c>
      <c r="I24" s="13">
        <f>0*المعدات_والتجهيزات[[#This Row],[المبلغ بالجنيه]]</f>
        <v/>
      </c>
      <c r="J24" s="1" t="n"/>
    </row>
    <row r="25" ht="21" customHeight="1" s="105">
      <c r="A25" s="4" t="n"/>
      <c r="B25" s="7" t="inlineStr">
        <is>
          <t>عزاقة ومكنسة ملحقة بالجرار</t>
        </is>
      </c>
      <c r="C25" s="5" t="n">
        <v>76700</v>
      </c>
      <c r="D25" s="14" t="n">
        <v>0</v>
      </c>
      <c r="E25" s="14">
        <f>0*المعدات_والتجهيزات[[#This Row],[المبلغ بالجنيه]]</f>
        <v/>
      </c>
      <c r="F25" s="14">
        <f>0*المعدات_والتجهيزات[[#This Row],[المبلغ بالجنيه]]</f>
        <v/>
      </c>
      <c r="G25" s="14">
        <f>0*المعدات_والتجهيزات[[#This Row],[المبلغ بالجنيه]]</f>
        <v/>
      </c>
      <c r="H25" s="14">
        <f>المعدات_والتجهيزات[[#This Row],[المبلغ بالجنيه]]</f>
        <v/>
      </c>
      <c r="I25" s="14">
        <f>0*المعدات_والتجهيزات[[#This Row],[المبلغ بالجنيه]]</f>
        <v/>
      </c>
      <c r="J25" s="1" t="n"/>
    </row>
    <row r="26" ht="21" customHeight="1" s="105">
      <c r="A26" s="4" t="n"/>
      <c r="B26" s="7" t="inlineStr">
        <is>
          <t>تجهيزات الحجر البيطري</t>
        </is>
      </c>
      <c r="C26" s="5" t="n">
        <v>41975</v>
      </c>
      <c r="D26" s="13" t="n">
        <v>0</v>
      </c>
      <c r="E26" s="13">
        <f>0*المعدات_والتجهيزات[[#This Row],[المبلغ بالجنيه]]</f>
        <v/>
      </c>
      <c r="F26" s="13">
        <f>0*المعدات_والتجهيزات[[#This Row],[المبلغ بالجنيه]]</f>
        <v/>
      </c>
      <c r="G26" s="13">
        <f>0*المعدات_والتجهيزات[[#This Row],[المبلغ بالجنيه]]</f>
        <v/>
      </c>
      <c r="H26" s="14">
        <f>المعدات_والتجهيزات[[#This Row],[المبلغ بالجنيه]]</f>
        <v/>
      </c>
      <c r="I26" s="13">
        <f>0*المعدات_والتجهيزات[[#This Row],[المبلغ بالجنيه]]</f>
        <v/>
      </c>
      <c r="J26" s="1" t="n"/>
    </row>
    <row r="27" ht="24.9" customHeight="1" s="105">
      <c r="A27" s="4" t="n"/>
      <c r="B27" s="3" t="inlineStr">
        <is>
          <t>الإجمالي</t>
        </is>
      </c>
      <c r="C27" s="2">
        <f>SUBTOTAL(109,المعدات_والتجهيزات[المبلغ بالجنيه])</f>
        <v/>
      </c>
      <c r="D27" s="32">
        <f>SUM(D22:D26)</f>
        <v/>
      </c>
      <c r="E27" s="32">
        <f>SUM(E22:E26)</f>
        <v/>
      </c>
      <c r="F27" s="32">
        <f>SUM(F22:F26)</f>
        <v/>
      </c>
      <c r="G27" s="32">
        <f>SUM(G22:G26)</f>
        <v/>
      </c>
      <c r="H27" s="32">
        <f>SUM(H22:H26)</f>
        <v/>
      </c>
      <c r="I27" s="32">
        <f>SUM(I22:I26)</f>
        <v/>
      </c>
      <c r="J27" s="1" t="n"/>
    </row>
    <row r="28" ht="12" customFormat="1" customHeight="1" s="10" thickBot="1">
      <c r="B28" s="23" t="n"/>
      <c r="C28" s="23" t="n"/>
      <c r="D28" s="22">
        <f>D27/المعدات_والتجهيزات[[#Totals],[المبلغ بالجنيه]]</f>
        <v/>
      </c>
      <c r="E28" s="21">
        <f>E27/المعدات_والتجهيزات[[#Totals],[المبلغ بالجنيه]]</f>
        <v/>
      </c>
      <c r="F28" s="21">
        <f>F27/المعدات_والتجهيزات[[#Totals],[المبلغ بالجنيه]]</f>
        <v/>
      </c>
      <c r="G28" s="21">
        <f>G27/المعدات_والتجهيزات[[#Totals],[المبلغ بالجنيه]]</f>
        <v/>
      </c>
      <c r="H28" s="21">
        <f>H27/المعدات_والتجهيزات[[#Totals],[المبلغ بالجنيه]]</f>
        <v/>
      </c>
      <c r="I28" s="21">
        <f>I27/المعدات_والتجهيزات[[#Totals],[المبلغ بالجنيه]]</f>
        <v/>
      </c>
    </row>
  </sheetData>
  <mergeCells count="1">
    <mergeCell ref="B1:B4"/>
  </mergeCells>
  <dataValidations count="9">
    <dataValidation sqref="B28:C28" showDropDown="0" showInputMessage="1" showErrorMessage="1" allowBlank="1" prompt="أدخل التفاصيل في جدول مصروفات المسؤول أدناه"/>
    <dataValidation sqref="B21" showDropDown="0" showInputMessage="1" showErrorMessage="1" allowBlank="1" prompt="أدخل قائمة المعدات الرأسمالية أو عدلها في هذا العمود ضمن هذا العنوان"/>
    <dataValidation sqref="B20:C20" showDropDown="0" showInputMessage="1" showErrorMessage="1" allowBlank="1" prompt="أدخل التفاصيل في جدول الرأسمالية أدناه"/>
    <dataValidation sqref="B13" showDropDown="0" showInputMessage="1" showErrorMessage="1" allowBlank="1" prompt="أدخل تحسينات الأماكن المستأجرة أو عدلها في هذا العمود ضمن هذا العنوان"/>
    <dataValidation sqref="C6 C13 C21" showDropDown="0" showInputMessage="1" showErrorMessage="1" allowBlank="1" prompt="أدخل المبلغ في هذا العمود ضمن هذا العنوان"/>
    <dataValidation sqref="B6" showDropDown="0" showInputMessage="1" showErrorMessage="1" allowBlank="1" prompt="أدخل المبنى أو العقار أو عدله في هذا العمود ضمن هذا العنوان"/>
    <dataValidation sqref="B5" showDropDown="0" showInputMessage="1" showErrorMessage="1" allowBlank="1" prompt="أدخل التفاصيل في جدول العقارات أدناه"/>
    <dataValidation sqref="A3:A4" showDropDown="0" showInputMessage="1" showErrorMessage="1" allowBlank="1" prompt="قم بإنشاء مصروفات الشركة الناشئة في ورقة العمل هذه. أدخل اسم الشركة في الخلية D1 والتفاصيل في الجداول بدءاً من أسفل العنوان &quot;مصروفات الشركة الناشئة&quot; في الخلية B4. التلميحات موجودة في الخلايا B2 وB61 وB83"/>
    <dataValidation sqref="B12:C12" showDropDown="0" showInputMessage="1" showErrorMessage="1" allowBlank="1" prompt="أدخل التفاصيل في جدول التحسين أدناه"/>
  </dataValidations>
  <printOptions horizontalCentered="1"/>
  <pageMargins left="0.25" right="0.25" top="0.75" bottom="0.75" header="0.3" footer="0.3"/>
  <pageSetup orientation="portrait" paperSize="18" scale="97" fitToHeight="0"/>
  <headerFooter differentFirst="1">
    <oddHeader/>
    <oddFooter>&amp;L&amp;C&amp;R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theme="4"/>
    <outlinePr summaryBelow="1" summaryRight="1"/>
    <pageSetUpPr/>
  </sheetPr>
  <dimension ref="B3:I15"/>
  <sheetViews>
    <sheetView showGridLines="0" rightToLeft="1" tabSelected="1" zoomScale="52" workbookViewId="0">
      <selection activeCell="I1" sqref="I1:I1048576"/>
    </sheetView>
  </sheetViews>
  <sheetFormatPr baseColWidth="8" defaultRowHeight="13.2"/>
  <cols>
    <col width="27.5546875" customWidth="1" style="105" min="2" max="2"/>
    <col width="23.44140625" customWidth="1" style="105" min="3" max="3"/>
    <col width="31.5546875" bestFit="1" customWidth="1" style="105" min="4" max="4"/>
    <col width="36.44140625" bestFit="1" customWidth="1" style="105" min="5" max="5"/>
    <col width="37.5546875" bestFit="1" customWidth="1" style="105" min="6" max="7"/>
    <col width="37.88671875" bestFit="1" customWidth="1" style="105" min="8" max="8"/>
    <col width="33.21875" bestFit="1" customWidth="1" style="105" min="9" max="9"/>
  </cols>
  <sheetData>
    <row r="2" ht="45" customHeight="1" s="105"/>
    <row r="3" ht="6" customHeight="1" s="105" thickBot="1">
      <c r="B3" s="60" t="n"/>
      <c r="C3" s="60" t="n"/>
      <c r="D3" s="60" t="n"/>
      <c r="E3" s="60" t="n"/>
      <c r="F3" s="60" t="n"/>
      <c r="G3" s="60" t="n"/>
      <c r="H3" s="60" t="n"/>
      <c r="I3" s="60" t="n"/>
    </row>
    <row r="4" ht="35.1" customHeight="1" s="105">
      <c r="B4" s="104" t="inlineStr">
        <is>
          <t>دفعات وتواريخ ضخ السيــولــــة بالمشـــروع</t>
        </is>
      </c>
      <c r="C4" s="53" t="n"/>
      <c r="D4" s="67" t="n">
        <v>45897</v>
      </c>
      <c r="E4" s="68">
        <f>D4+6</f>
        <v/>
      </c>
      <c r="F4" s="68">
        <f>E4+7</f>
        <v/>
      </c>
      <c r="G4" s="68">
        <f>F4+7</f>
        <v/>
      </c>
      <c r="H4" s="68">
        <f>G4+7</f>
        <v/>
      </c>
      <c r="I4" s="69">
        <f>H4+7</f>
        <v/>
      </c>
    </row>
    <row r="5" ht="35.1" customHeight="1" s="105" thickBot="1">
      <c r="B5" s="106" t="n"/>
      <c r="C5" s="54" t="n"/>
      <c r="D5" s="70" t="inlineStr">
        <is>
          <t>دفعة التعاقد</t>
        </is>
      </c>
      <c r="E5" s="71" t="inlineStr">
        <is>
          <t>الأسبوع 1</t>
        </is>
      </c>
      <c r="F5" s="71" t="inlineStr">
        <is>
          <t>الأسبوع 2</t>
        </is>
      </c>
      <c r="G5" s="71" t="inlineStr">
        <is>
          <t>الأسبوع 3</t>
        </is>
      </c>
      <c r="H5" s="71" t="inlineStr">
        <is>
          <t>الأسبوع 4</t>
        </is>
      </c>
      <c r="I5" s="72" t="inlineStr">
        <is>
          <t>الأسبوع 5</t>
        </is>
      </c>
    </row>
    <row r="6" ht="35.1" customHeight="1" s="105">
      <c r="B6" s="106" t="n"/>
      <c r="C6" s="62" t="n">
        <v>3613520</v>
      </c>
      <c r="D6" s="98" t="n">
        <v>1937114</v>
      </c>
      <c r="E6" s="98" t="n">
        <v>456000</v>
      </c>
      <c r="F6" s="98" t="n">
        <v>309152</v>
      </c>
      <c r="G6" s="98" t="n">
        <v>296501</v>
      </c>
      <c r="H6" s="98" t="n">
        <v>396551</v>
      </c>
      <c r="I6" s="98" t="n">
        <v>218202</v>
      </c>
    </row>
    <row r="7" ht="35.1" customHeight="1" s="105" thickBot="1">
      <c r="B7" s="107" t="n"/>
      <c r="C7" s="64" t="n">
        <v>1</v>
      </c>
      <c r="D7" s="99">
        <f>D6/$C$6</f>
        <v/>
      </c>
      <c r="E7" s="99">
        <f>E6/$C$6</f>
        <v/>
      </c>
      <c r="F7" s="99">
        <f>F6/$C$6</f>
        <v/>
      </c>
      <c r="G7" s="99">
        <f>G6/$C$6</f>
        <v/>
      </c>
      <c r="H7" s="99">
        <f>H6/$C$6</f>
        <v/>
      </c>
      <c r="I7" s="99">
        <f>I6/$C$6</f>
        <v/>
      </c>
    </row>
    <row r="8" ht="8.1" customHeight="1" s="105" thickBot="1" thickTop="1">
      <c r="B8" s="55" t="n"/>
      <c r="C8" s="55" t="n"/>
      <c r="D8" s="55" t="n"/>
      <c r="E8" s="55" t="n"/>
      <c r="F8" s="55" t="n"/>
      <c r="G8" s="55" t="n"/>
      <c r="H8" s="55" t="n"/>
      <c r="I8" s="55" t="n"/>
    </row>
    <row r="9" ht="150" customHeight="1" s="105" thickBot="1" thickTop="1">
      <c r="B9" s="56" t="n"/>
      <c r="C9" s="56" t="n"/>
      <c r="D9" s="56" t="n"/>
      <c r="E9" s="56" t="n"/>
      <c r="F9" s="56" t="n"/>
      <c r="G9" s="56" t="n"/>
      <c r="H9" s="56" t="n"/>
      <c r="I9" s="56" t="n"/>
    </row>
    <row r="10" ht="8.1" customHeight="1" s="105" thickBot="1" thickTop="1">
      <c r="B10" s="55" t="n"/>
      <c r="C10" s="55" t="n"/>
      <c r="D10" s="55" t="n"/>
      <c r="E10" s="55" t="n"/>
      <c r="F10" s="55" t="n"/>
      <c r="G10" s="55" t="n"/>
      <c r="H10" s="55" t="n"/>
      <c r="I10" s="55" t="n"/>
    </row>
    <row r="11" ht="35.1" customHeight="1" s="105">
      <c r="B11" s="104" t="inlineStr">
        <is>
          <t>دفعات وتواريخ ضخ السيــولــــة بالمشـــروع</t>
        </is>
      </c>
      <c r="C11" s="53" t="n"/>
      <c r="D11" s="100" t="n">
        <v>45897</v>
      </c>
      <c r="E11" s="108" t="n"/>
      <c r="F11" s="100">
        <f>D11+13</f>
        <v/>
      </c>
      <c r="G11" s="108" t="n"/>
      <c r="H11" s="100">
        <f>F11+14</f>
        <v/>
      </c>
      <c r="I11" s="108" t="n"/>
    </row>
    <row r="12" ht="35.1" customHeight="1" s="105" thickBot="1">
      <c r="B12" s="106" t="n"/>
      <c r="C12" s="54" t="n"/>
      <c r="D12" s="96" t="inlineStr">
        <is>
          <t>دفعة التعاقد</t>
        </is>
      </c>
      <c r="E12" s="108" t="n"/>
      <c r="F12" s="96" t="inlineStr">
        <is>
          <t>الأسبوع 2</t>
        </is>
      </c>
      <c r="G12" s="108" t="n"/>
      <c r="H12" s="96" t="inlineStr">
        <is>
          <t>الأسبوع 5</t>
        </is>
      </c>
      <c r="I12" s="108" t="n"/>
    </row>
    <row r="13" ht="35.1" customHeight="1" s="105">
      <c r="B13" s="106" t="n"/>
      <c r="C13" s="62" t="n">
        <v>3613520</v>
      </c>
      <c r="D13" s="98">
        <f>C13*D14</f>
        <v/>
      </c>
      <c r="E13" s="108" t="n"/>
      <c r="F13" s="98">
        <f>C13*F14</f>
        <v/>
      </c>
      <c r="G13" s="108" t="n"/>
      <c r="H13" s="98">
        <f>C13*H14</f>
        <v/>
      </c>
      <c r="I13" s="108" t="n"/>
    </row>
    <row r="14" ht="35.1" customHeight="1" s="105" thickBot="1">
      <c r="B14" s="107" t="n"/>
      <c r="C14" s="64" t="n">
        <v>1</v>
      </c>
      <c r="D14" s="99" t="n">
        <v>0.6</v>
      </c>
      <c r="E14" s="109" t="n"/>
      <c r="F14" s="99" t="n">
        <v>0.25</v>
      </c>
      <c r="G14" s="109" t="n"/>
      <c r="H14" s="99" t="n">
        <v>0.15</v>
      </c>
      <c r="I14" s="109" t="n"/>
    </row>
    <row r="15" ht="6" customHeight="1" s="105" thickTop="1">
      <c r="B15" s="57" t="n"/>
      <c r="C15" s="58" t="n"/>
      <c r="D15" s="59" t="n"/>
      <c r="E15" s="59" t="n"/>
      <c r="F15" s="59" t="n"/>
      <c r="G15" s="59" t="n"/>
      <c r="H15" s="59" t="n"/>
      <c r="I15" s="59" t="n"/>
    </row>
    <row r="16" ht="45" customHeight="1" s="105"/>
  </sheetData>
  <mergeCells count="14">
    <mergeCell ref="H11:I11"/>
    <mergeCell ref="F11:G11"/>
    <mergeCell ref="F12:G12"/>
    <mergeCell ref="H12:I12"/>
    <mergeCell ref="B11:B14"/>
    <mergeCell ref="B4:B7"/>
    <mergeCell ref="D11:E11"/>
    <mergeCell ref="D13:E13"/>
    <mergeCell ref="D14:E14"/>
    <mergeCell ref="F14:G14"/>
    <mergeCell ref="F13:G13"/>
    <mergeCell ref="H13:I13"/>
    <mergeCell ref="H14:I14"/>
    <mergeCell ref="D12:E12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314" scale="135"/>
</worksheet>
</file>

<file path=xl/worksheets/sheet3.xml><?xml version="1.0" encoding="utf-8"?>
<worksheet xmlns="http://schemas.openxmlformats.org/spreadsheetml/2006/main">
  <sheetPr>
    <tabColor theme="4"/>
    <outlinePr summaryBelow="1" summaryRight="1"/>
    <pageSetUpPr/>
  </sheetPr>
  <dimension ref="A3:I32"/>
  <sheetViews>
    <sheetView showGridLines="0" rightToLeft="1" topLeftCell="B1" workbookViewId="0">
      <selection activeCell="A1" sqref="A1:G33"/>
    </sheetView>
  </sheetViews>
  <sheetFormatPr baseColWidth="8" defaultRowHeight="13.2"/>
  <cols>
    <col width="9.6640625" customWidth="1" style="105" min="1" max="1"/>
    <col width="27.5546875" customWidth="1" style="105" min="2" max="2"/>
    <col width="23.44140625" customWidth="1" style="105" min="3" max="3"/>
    <col width="31.44140625" customWidth="1" style="105" min="4" max="6"/>
    <col width="9.6640625" customWidth="1" style="105" min="7" max="7"/>
    <col width="32.44140625" bestFit="1" customWidth="1" style="105" min="8" max="8"/>
    <col width="28.44140625" bestFit="1" customWidth="1" style="105" min="9" max="9"/>
  </cols>
  <sheetData>
    <row r="2" ht="45.75" customHeight="1" s="105"/>
    <row r="3" ht="8.1" customHeight="1" s="105" thickBot="1">
      <c r="B3" s="55" t="n"/>
      <c r="C3" s="55" t="n"/>
      <c r="D3" s="55" t="n"/>
      <c r="E3" s="55" t="n"/>
      <c r="F3" s="55" t="n"/>
    </row>
    <row r="4" ht="35.1" customHeight="1" s="105">
      <c r="B4" s="104" t="inlineStr">
        <is>
          <t>دفعات وتواريخ ضخ السيــولــــة بالمشـــروع</t>
        </is>
      </c>
      <c r="C4" s="53" t="n"/>
      <c r="D4" s="100" t="n">
        <v>45897</v>
      </c>
      <c r="E4" s="100">
        <f>D4+13</f>
        <v/>
      </c>
      <c r="F4" s="100">
        <f>E4+14</f>
        <v/>
      </c>
    </row>
    <row r="5" ht="35.1" customHeight="1" s="105" thickBot="1">
      <c r="B5" s="106" t="n"/>
      <c r="C5" s="54" t="n"/>
      <c r="D5" s="96" t="inlineStr">
        <is>
          <t>دفعة التعاقد</t>
        </is>
      </c>
      <c r="E5" s="96" t="inlineStr">
        <is>
          <t>الأسبوع 2</t>
        </is>
      </c>
      <c r="F5" s="96" t="inlineStr">
        <is>
          <t>الأسبوع 5</t>
        </is>
      </c>
    </row>
    <row r="6" ht="35.1" customHeight="1" s="105">
      <c r="B6" s="106" t="n"/>
      <c r="C6" s="62" t="n">
        <v>3613520</v>
      </c>
      <c r="D6" s="98">
        <f>C6*D7</f>
        <v/>
      </c>
      <c r="E6" s="98">
        <f>C6*E7</f>
        <v/>
      </c>
      <c r="F6" s="98">
        <f>C6*F7</f>
        <v/>
      </c>
    </row>
    <row r="7" ht="35.1" customHeight="1" s="105" thickBot="1">
      <c r="B7" s="107" t="n"/>
      <c r="C7" s="64" t="n">
        <v>1</v>
      </c>
      <c r="D7" s="99" t="n">
        <v>0.6</v>
      </c>
      <c r="E7" s="99" t="n">
        <v>0.25</v>
      </c>
      <c r="F7" s="99" t="n">
        <v>0.15</v>
      </c>
    </row>
    <row r="8" ht="6" customHeight="1" s="105" thickTop="1">
      <c r="B8" s="57" t="n"/>
      <c r="C8" s="58" t="n"/>
      <c r="D8" s="59" t="n"/>
      <c r="E8" s="59" t="n"/>
      <c r="F8" s="59" t="n"/>
    </row>
    <row r="9" ht="45" customHeight="1" s="105"/>
    <row r="10" ht="21.9" customFormat="1" customHeight="1" s="1">
      <c r="A10" s="4" t="n"/>
      <c r="B10" s="82" t="inlineStr">
        <is>
          <t>الإنشائات</t>
        </is>
      </c>
      <c r="C10" s="83" t="inlineStr">
        <is>
          <t>المبلغ بالجنيه</t>
        </is>
      </c>
      <c r="D10" s="81" t="inlineStr">
        <is>
          <t>عند التعاقد</t>
        </is>
      </c>
      <c r="E10" s="81" t="inlineStr">
        <is>
          <t>الأسبوع 2</t>
        </is>
      </c>
      <c r="F10" s="81" t="inlineStr">
        <is>
          <t>الأسبوع 4</t>
        </is>
      </c>
    </row>
    <row r="11" ht="21" customFormat="1" customHeight="1" s="1">
      <c r="A11" s="4" t="n"/>
      <c r="B11" s="84" t="inlineStr">
        <is>
          <t>عنابر التربية</t>
        </is>
      </c>
      <c r="C11" s="85">
        <f>2182020</f>
        <v/>
      </c>
      <c r="D11" s="86">
        <f>Table810[[#This Row],[المبلغ بالجنيه]]*0.6</f>
        <v/>
      </c>
      <c r="E11" s="86">
        <f>Table810[[#This Row],[المبلغ بالجنيه]]*0.25</f>
        <v/>
      </c>
      <c r="F11" s="86">
        <f>Table810[[#This Row],[المبلغ بالجنيه]]*0.15</f>
        <v/>
      </c>
    </row>
    <row r="12" ht="21" customFormat="1" customHeight="1" s="1">
      <c r="A12" s="4" t="n"/>
      <c r="B12" s="26" t="inlineStr">
        <is>
          <t>الحجر البيطري وغرف العزل</t>
        </is>
      </c>
      <c r="C12" s="14" t="n">
        <v>147000</v>
      </c>
      <c r="D12" s="13">
        <f>Table810[[#This Row],[المبلغ بالجنيه]]*0.6</f>
        <v/>
      </c>
      <c r="E12" s="13">
        <f>Table810[[#This Row],[المبلغ بالجنيه]]*0.25</f>
        <v/>
      </c>
      <c r="F12" s="13">
        <f>Table810[[#This Row],[المبلغ بالجنيه]]*0.15</f>
        <v/>
      </c>
    </row>
    <row r="13" ht="21" customFormat="1" customHeight="1" s="1">
      <c r="A13" s="4" t="n"/>
      <c r="B13" s="87" t="inlineStr">
        <is>
          <t>ابار تخمير الكومبوست</t>
        </is>
      </c>
      <c r="C13" s="86" t="n">
        <v>84000</v>
      </c>
      <c r="D13" s="86">
        <f>Table810[[#This Row],[المبلغ بالجنيه]]*0.6</f>
        <v/>
      </c>
      <c r="E13" s="86">
        <f>Table810[[#This Row],[المبلغ بالجنيه]]*0.25</f>
        <v/>
      </c>
      <c r="F13" s="86">
        <f>Table810[[#This Row],[المبلغ بالجنيه]]*0.15</f>
        <v/>
      </c>
    </row>
    <row r="14" ht="21" customFormat="1" customHeight="1" s="1">
      <c r="A14" s="4" t="n"/>
      <c r="B14" s="26" t="inlineStr">
        <is>
          <t>حواجز الحظائر وخطوط الأعلاف</t>
        </is>
      </c>
      <c r="C14" s="14" t="n">
        <v>259500</v>
      </c>
      <c r="D14" s="13">
        <f>Table810[[#This Row],[المبلغ بالجنيه]]*0.6</f>
        <v/>
      </c>
      <c r="E14" s="13">
        <f>Table810[[#This Row],[المبلغ بالجنيه]]*0.25</f>
        <v/>
      </c>
      <c r="F14" s="13">
        <f>Table810[[#This Row],[المبلغ بالجنيه]]*0.15</f>
        <v/>
      </c>
    </row>
    <row r="15" ht="24.9" customFormat="1" customHeight="1" s="73">
      <c r="B15" s="88" t="inlineStr">
        <is>
          <t>الإجمالي</t>
        </is>
      </c>
      <c r="C15" s="89">
        <f>SUBTOTAL(109,'المصروف الافتتاحي'!$C$7:$C$10)</f>
        <v/>
      </c>
      <c r="D15" s="89">
        <f>SUM(D11:D14)</f>
        <v/>
      </c>
      <c r="E15" s="90">
        <f>Table810[[#This Row],[المبلغ بالجنيه]]*0.25</f>
        <v/>
      </c>
      <c r="F15" s="90">
        <f>Table810[[#This Row],[المبلغ بالجنيه]]*0.15</f>
        <v/>
      </c>
    </row>
    <row r="16" ht="12" customFormat="1" customHeight="1" s="10" thickBot="1">
      <c r="B16" s="77" t="n"/>
      <c r="C16" s="77" t="n"/>
      <c r="D16" s="74">
        <f>D15/'المصروف الافتتاحي'!$C$11</f>
        <v/>
      </c>
      <c r="E16" s="78">
        <f>(E15/'المصروف الافتتاحي'!$C$11)</f>
        <v/>
      </c>
      <c r="F16" s="78">
        <f>(F15/'المصروف الافتتاحي'!$C$11)</f>
        <v/>
      </c>
    </row>
    <row r="17" ht="21.9" customFormat="1" customHeight="1" s="1" thickTop="1">
      <c r="A17" s="4" t="n"/>
      <c r="B17" s="82" t="inlineStr">
        <is>
          <t xml:space="preserve">البنية التحتية والخدمات </t>
        </is>
      </c>
      <c r="C17" s="83" t="inlineStr">
        <is>
          <t>المبلغ بالجنيه</t>
        </is>
      </c>
      <c r="D17" s="81" t="inlineStr">
        <is>
          <t>عند التعاقد</t>
        </is>
      </c>
      <c r="E17" s="81" t="inlineStr">
        <is>
          <t>الأسبوع 2</t>
        </is>
      </c>
      <c r="F17" s="81" t="inlineStr">
        <is>
          <t>الأسبوع 4</t>
        </is>
      </c>
    </row>
    <row r="18" ht="21" customFormat="1" customHeight="1" s="1">
      <c r="A18" s="4" t="n"/>
      <c r="B18" s="91" t="inlineStr">
        <is>
          <t>شبكات الصرف وتجفيف أرضيات العنابر</t>
        </is>
      </c>
      <c r="C18" s="92" t="n">
        <v>147000</v>
      </c>
      <c r="D18" s="86">
        <f>البنية_التحتية_و_الخدمات7[[#This Row],[المبلغ بالجنيه]]*0.6</f>
        <v/>
      </c>
      <c r="E18" s="86">
        <f>البنية_التحتية_و_الخدمات7[[#This Row],[المبلغ بالجنيه]]*0.25</f>
        <v/>
      </c>
      <c r="F18" s="86">
        <f>البنية_التحتية_و_الخدمات7[[#This Row],[المبلغ بالجنيه]]*0.15</f>
        <v/>
      </c>
    </row>
    <row r="19" ht="21" customFormat="1" customHeight="1" s="1">
      <c r="A19" s="4" t="n"/>
      <c r="B19" s="7" t="inlineStr">
        <is>
          <t xml:space="preserve">خط تغذية التيار ولوحة التوزيع </t>
        </is>
      </c>
      <c r="C19" s="5">
        <f>95000</f>
        <v/>
      </c>
      <c r="D19" s="13">
        <f>البنية_التحتية_و_الخدمات7[[#This Row],[المبلغ بالجنيه]]*0.6</f>
        <v/>
      </c>
      <c r="E19" s="13">
        <f>البنية_التحتية_و_الخدمات7[[#This Row],[المبلغ بالجنيه]]*0.25</f>
        <v/>
      </c>
      <c r="F19" s="13">
        <f>البنية_التحتية_و_الخدمات7[[#This Row],[المبلغ بالجنيه]]*0.15</f>
        <v/>
      </c>
    </row>
    <row r="20" ht="21" customFormat="1" customHeight="1" s="1">
      <c r="A20" s="4" t="n"/>
      <c r="B20" s="91" t="inlineStr">
        <is>
          <t xml:space="preserve">الإنارة والكاميرات وأنظمة التحكم </t>
        </is>
      </c>
      <c r="C20" s="92" t="n">
        <v>55000</v>
      </c>
      <c r="D20" s="86">
        <f>البنية_التحتية_و_الخدمات7[[#This Row],[المبلغ بالجنيه]]*0.6</f>
        <v/>
      </c>
      <c r="E20" s="86">
        <f>البنية_التحتية_و_الخدمات7[[#This Row],[المبلغ بالجنيه]]*0.25</f>
        <v/>
      </c>
      <c r="F20" s="86">
        <f>البنية_التحتية_و_الخدمات7[[#This Row],[المبلغ بالجنيه]]*0.15</f>
        <v/>
      </c>
    </row>
    <row r="21" ht="21" customFormat="1" customHeight="1" s="1">
      <c r="A21" s="4" t="n"/>
      <c r="B21" s="3" t="inlineStr">
        <is>
          <t>بلتات تخزين قش الرز</t>
        </is>
      </c>
      <c r="C21" s="2" t="n">
        <v>52500</v>
      </c>
      <c r="D21" s="13">
        <f>البنية_التحتية_و_الخدمات7[[#This Row],[المبلغ بالجنيه]]*0.6</f>
        <v/>
      </c>
      <c r="E21" s="13">
        <f>البنية_التحتية_و_الخدمات7[[#This Row],[المبلغ بالجنيه]]*0.25</f>
        <v/>
      </c>
      <c r="F21" s="13">
        <f>البنية_التحتية_و_الخدمات7[[#This Row],[المبلغ بالجنيه]]*0.15</f>
        <v/>
      </c>
    </row>
    <row r="22" ht="21" customFormat="1" customHeight="1" s="1">
      <c r="A22" s="4" t="n"/>
      <c r="B22" s="91" t="inlineStr">
        <is>
          <t>الخزانات ونظام توزيع مياه الشرب</t>
        </is>
      </c>
      <c r="C22" s="92" t="n">
        <v>100000</v>
      </c>
      <c r="D22" s="86">
        <f>البنية_التحتية_و_الخدمات7[[#This Row],[المبلغ بالجنيه]]*0.6</f>
        <v/>
      </c>
      <c r="E22" s="86">
        <f>البنية_التحتية_و_الخدمات7[[#This Row],[المبلغ بالجنيه]]*0.25</f>
        <v/>
      </c>
      <c r="F22" s="86">
        <f>البنية_التحتية_و_الخدمات7[[#This Row],[المبلغ بالجنيه]]*0.15</f>
        <v/>
      </c>
    </row>
    <row r="23" ht="24.9" customFormat="1" customHeight="1" s="6">
      <c r="B23" s="3" t="inlineStr">
        <is>
          <t>الإجمالي</t>
        </is>
      </c>
      <c r="C23" s="2">
        <f>SUBTOTAL(109,البنية_التحتية_و_الخدمات7[المبلغ بالجنيه])</f>
        <v/>
      </c>
      <c r="D23" s="33">
        <f>SUM(D18:D22)</f>
        <v/>
      </c>
      <c r="E23" s="33">
        <f>SUM(E18:E22)</f>
        <v/>
      </c>
      <c r="F23" s="33">
        <f>SUM(F18:F22)</f>
        <v/>
      </c>
    </row>
    <row r="24" ht="12" customFormat="1" customHeight="1" s="10" thickBot="1">
      <c r="B24" s="74" t="n"/>
      <c r="C24" s="74" t="n"/>
      <c r="D24" s="74">
        <f>D23/البنية_التحتية_و_الخدمات7[[#Totals],[المبلغ بالجنيه]]</f>
        <v/>
      </c>
      <c r="E24" s="75">
        <f>البنية_التحتية_و_الخدمات7[[#Totals],[الأسبوع 2]]/البنية_التحتية_و_الخدمات7[[#Totals],[المبلغ بالجنيه]]</f>
        <v/>
      </c>
      <c r="F24" s="76">
        <f>البنية_التحتية_و_الخدمات7[[#Totals],[الأسبوع 4]]/البنية_التحتية_و_الخدمات7[[#Totals],[المبلغ بالجنيه]]</f>
        <v/>
      </c>
      <c r="G24" s="16" t="n"/>
      <c r="H24" s="16" t="n"/>
      <c r="I24" s="16" t="n"/>
    </row>
    <row r="25" ht="21.9" customFormat="1" customHeight="1" s="1" thickTop="1">
      <c r="A25" s="4" t="n"/>
      <c r="B25" s="82" t="inlineStr">
        <is>
          <t xml:space="preserve">المعدات والتجهيزات </t>
        </is>
      </c>
      <c r="C25" s="83" t="inlineStr">
        <is>
          <t>المبلغ بالجنيه</t>
        </is>
      </c>
      <c r="D25" s="81" t="inlineStr">
        <is>
          <t>عند التعاقد</t>
        </is>
      </c>
      <c r="E25" s="81" t="inlineStr">
        <is>
          <t>الأسبوع 2</t>
        </is>
      </c>
      <c r="F25" s="81" t="inlineStr">
        <is>
          <t>الأسبوع 4</t>
        </is>
      </c>
    </row>
    <row r="26" ht="21" customFormat="1" customHeight="1" s="1">
      <c r="A26" s="4" t="n"/>
      <c r="B26" s="91" t="inlineStr">
        <is>
          <t>جرار زراعي 20 حصان</t>
        </is>
      </c>
      <c r="C26" s="92" t="n">
        <v>250000</v>
      </c>
      <c r="D26" s="86">
        <f>المعدات_والتجهيزات8[[#This Row],[المبلغ بالجنيه]]*0.6</f>
        <v/>
      </c>
      <c r="E26" s="86">
        <f>0.25*المعدات_والتجهيزات8[[#This Row],[المبلغ بالجنيه]]</f>
        <v/>
      </c>
      <c r="F26" s="86">
        <f>المعدات_والتجهيزات8[[#This Row],[المبلغ بالجنيه]]*0.15</f>
        <v/>
      </c>
    </row>
    <row r="27" ht="21" customFormat="1" customHeight="1" s="1">
      <c r="A27" s="4" t="n"/>
      <c r="B27" s="7" t="inlineStr">
        <is>
          <t xml:space="preserve">مفرمة للقش </t>
        </is>
      </c>
      <c r="C27" s="5" t="n">
        <v>60000</v>
      </c>
      <c r="D27" s="13">
        <f>المعدات_والتجهيزات8[[#This Row],[المبلغ بالجنيه]]*0.6</f>
        <v/>
      </c>
      <c r="E27" s="13">
        <f>0.25*المعدات_والتجهيزات8[[#This Row],[المبلغ بالجنيه]]</f>
        <v/>
      </c>
      <c r="F27" s="13">
        <f>المعدات_والتجهيزات8[[#This Row],[المبلغ بالجنيه]]*0.15</f>
        <v/>
      </c>
    </row>
    <row r="28" ht="21" customFormat="1" customHeight="1" s="1">
      <c r="A28" s="4" t="n"/>
      <c r="B28" s="91" t="inlineStr">
        <is>
          <t>مقطورة للجرار</t>
        </is>
      </c>
      <c r="C28" s="92" t="n">
        <v>80000</v>
      </c>
      <c r="D28" s="86">
        <f>المعدات_والتجهيزات8[[#This Row],[المبلغ بالجنيه]]*0.6</f>
        <v/>
      </c>
      <c r="E28" s="86">
        <f>0.25*المعدات_والتجهيزات8[[#This Row],[المبلغ بالجنيه]]</f>
        <v/>
      </c>
      <c r="F28" s="86">
        <f>المعدات_والتجهيزات8[[#This Row],[المبلغ بالجنيه]]*0.15</f>
        <v/>
      </c>
    </row>
    <row r="29" ht="21" customFormat="1" customHeight="1" s="1">
      <c r="A29" s="4" t="n"/>
      <c r="B29" s="7" t="inlineStr">
        <is>
          <t>عزاقة ومكنسة ملحقة بالجرار</t>
        </is>
      </c>
      <c r="C29" s="5" t="n">
        <v>65000</v>
      </c>
      <c r="D29" s="13">
        <f>المعدات_والتجهيزات8[[#This Row],[المبلغ بالجنيه]]*0.6</f>
        <v/>
      </c>
      <c r="E29" s="13">
        <f>0.25*المعدات_والتجهيزات8[[#This Row],[المبلغ بالجنيه]]</f>
        <v/>
      </c>
      <c r="F29" s="13">
        <f>المعدات_والتجهيزات8[[#This Row],[المبلغ بالجنيه]]*0.15</f>
        <v/>
      </c>
    </row>
    <row r="30" ht="21" customFormat="1" customHeight="1" s="1">
      <c r="A30" s="4" t="n"/>
      <c r="B30" s="91" t="inlineStr">
        <is>
          <t>تجهيزات الحجر البيطري</t>
        </is>
      </c>
      <c r="C30" s="92" t="n">
        <v>36500</v>
      </c>
      <c r="D30" s="86">
        <f>المعدات_والتجهيزات8[[#This Row],[المبلغ بالجنيه]]*0.6</f>
        <v/>
      </c>
      <c r="E30" s="86">
        <f>0.25*المعدات_والتجهيزات8[[#This Row],[المبلغ بالجنيه]]</f>
        <v/>
      </c>
      <c r="F30" s="86">
        <f>المعدات_والتجهيزات8[[#This Row],[المبلغ بالجنيه]]*0.15</f>
        <v/>
      </c>
    </row>
    <row r="31" ht="24.9" customFormat="1" customHeight="1" s="6">
      <c r="B31" s="3" t="inlineStr">
        <is>
          <t>الإجمالي</t>
        </is>
      </c>
      <c r="C31" s="2">
        <f>SUBTOTAL(109,المعدات_والتجهيزات8[المبلغ بالجنيه])</f>
        <v/>
      </c>
      <c r="D31" s="33">
        <f>SUM(D26:D30)</f>
        <v/>
      </c>
      <c r="E31" s="33">
        <f>SUM(E26:E30)</f>
        <v/>
      </c>
      <c r="F31" s="33">
        <f>SUM(F26:F30)</f>
        <v/>
      </c>
    </row>
    <row r="32" ht="12" customFormat="1" customHeight="1" s="10" thickBot="1">
      <c r="B32" s="77" t="n"/>
      <c r="C32" s="77" t="n"/>
      <c r="D32" s="74">
        <f>D31/المعدات_والتجهيزات8[[#Totals],[المبلغ بالجنيه]]</f>
        <v/>
      </c>
      <c r="E32" s="75">
        <f>المعدات_والتجهيزات8[[#Totals],[الأسبوع 2]]/المعدات_والتجهيزات8[[#Totals],[المبلغ بالجنيه]]</f>
        <v/>
      </c>
      <c r="F32" s="75">
        <f>المعدات_والتجهيزات8[[#Totals],[الأسبوع 4]]/المعدات_والتجهيزات8[[#Totals],[المبلغ بالجنيه]]</f>
        <v/>
      </c>
    </row>
    <row r="33" ht="50.1" customHeight="1" s="105" thickTop="1"/>
  </sheetData>
  <mergeCells count="1">
    <mergeCell ref="B4:B7"/>
  </mergeCells>
  <dataValidations count="7">
    <dataValidation sqref="B16:C16" showDropDown="0" showInputMessage="1" showErrorMessage="1" allowBlank="1" prompt="أدخل التفاصيل في جدول التحسين أدناه"/>
    <dataValidation sqref="B10" showDropDown="0" showInputMessage="1" showErrorMessage="1" allowBlank="1" prompt="أدخل المبنى أو العقار أو عدله في هذا العمود ضمن هذا العنوان"/>
    <dataValidation sqref="C10 C17 C25" showDropDown="0" showInputMessage="1" showErrorMessage="1" allowBlank="1" prompt="أدخل المبلغ في هذا العمود ضمن هذا العنوان"/>
    <dataValidation sqref="B17" showDropDown="0" showInputMessage="1" showErrorMessage="1" allowBlank="1" prompt="أدخل تحسينات الأماكن المستأجرة أو عدلها في هذا العمود ضمن هذا العنوان"/>
    <dataValidation sqref="B24:C24" showDropDown="0" showInputMessage="1" showErrorMessage="1" allowBlank="1" prompt="أدخل التفاصيل في جدول الرأسمالية أدناه"/>
    <dataValidation sqref="B25" showDropDown="0" showInputMessage="1" showErrorMessage="1" allowBlank="1" prompt="أدخل قائمة المعدات الرأسمالية أو عدلها في هذا العمود ضمن هذا العنوان"/>
    <dataValidation sqref="B32:C32" showDropDown="0" showInputMessage="1" showErrorMessage="1" allowBlank="1" prompt="أدخل التفاصيل في جدول مصروفات المسؤول أدناه"/>
  </dataValidation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314" scale="135"/>
  <rowBreaks count="1" manualBreakCount="1">
    <brk id="33" min="0" max="16383" man="1"/>
  </rowBreaks>
  <colBreaks count="1" manualBreakCount="1">
    <brk id="7" min="0" max="1048575" man="1"/>
  </colBreaks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tabColor theme="4"/>
    <outlinePr summaryBelow="1" summaryRight="1"/>
    <pageSetUpPr/>
  </sheetPr>
  <dimension ref="A3:H18"/>
  <sheetViews>
    <sheetView rightToLeft="1" workbookViewId="0">
      <selection activeCell="C8" sqref="C8"/>
    </sheetView>
  </sheetViews>
  <sheetFormatPr baseColWidth="8" defaultRowHeight="13.2"/>
  <cols>
    <col width="30.33203125" bestFit="1" customWidth="1" style="105" min="1" max="1"/>
    <col width="17.33203125" bestFit="1" customWidth="1" style="105" min="2" max="2"/>
    <col width="16.5546875" bestFit="1" customWidth="1" style="105" min="3" max="7"/>
    <col width="18.88671875" bestFit="1" customWidth="1" style="105" min="8" max="9"/>
    <col width="26.88671875" bestFit="1" customWidth="1" style="105" min="10" max="10"/>
    <col width="34.109375" bestFit="1" customWidth="1" style="105" min="11" max="11"/>
    <col width="27" bestFit="1" customWidth="1" style="105" min="12" max="12"/>
    <col width="11.109375" bestFit="1" customWidth="1" style="105" min="13" max="13"/>
    <col width="12.6640625" bestFit="1" customWidth="1" style="105" min="14" max="14"/>
    <col width="13.5546875" bestFit="1" customWidth="1" style="105" min="15" max="15"/>
    <col width="11.5546875" bestFit="1" customWidth="1" style="105" min="16" max="16"/>
  </cols>
  <sheetData>
    <row r="3">
      <c r="A3" s="34" t="inlineStr">
        <is>
          <t>Row Labels</t>
        </is>
      </c>
      <c r="B3" s="0" t="inlineStr">
        <is>
          <t>Sum of عند التعاقد</t>
        </is>
      </c>
      <c r="C3" s="0" t="inlineStr">
        <is>
          <t>Sum of الأسبوع 1</t>
        </is>
      </c>
      <c r="D3" s="0" t="inlineStr">
        <is>
          <t>Sum of الأسبوع 2</t>
        </is>
      </c>
      <c r="E3" s="0" t="inlineStr">
        <is>
          <t>Sum of الأسبوع 3</t>
        </is>
      </c>
      <c r="F3" s="0" t="inlineStr">
        <is>
          <t>Sum of الأسبوع 4</t>
        </is>
      </c>
      <c r="G3" s="0" t="inlineStr">
        <is>
          <t>Sum of الأسبوع 5</t>
        </is>
      </c>
      <c r="H3" s="0" t="inlineStr">
        <is>
          <t>Sum of إجمالي البند</t>
        </is>
      </c>
    </row>
    <row r="4">
      <c r="A4" s="35" t="inlineStr">
        <is>
          <t>ابار تخمير الكومبوست</t>
        </is>
      </c>
      <c r="B4" s="32" t="n">
        <v>21000</v>
      </c>
      <c r="C4" s="32" t="n">
        <v>42000</v>
      </c>
      <c r="D4" s="32" t="n">
        <v>21000</v>
      </c>
      <c r="E4" s="32" t="n">
        <v>0</v>
      </c>
      <c r="F4" s="32" t="n">
        <v>0</v>
      </c>
      <c r="G4" s="32" t="n">
        <v>0</v>
      </c>
      <c r="H4" s="32" t="n">
        <v>84000</v>
      </c>
    </row>
    <row r="5">
      <c r="A5" s="35" t="inlineStr">
        <is>
          <t xml:space="preserve">الإنارة والكاميرات وأنظمة التحكم </t>
        </is>
      </c>
      <c r="B5" s="32" t="n">
        <v>0</v>
      </c>
      <c r="C5" s="32" t="n">
        <v>0</v>
      </c>
      <c r="D5" s="32" t="n">
        <v>44000</v>
      </c>
      <c r="E5" s="32" t="n">
        <v>11000</v>
      </c>
      <c r="F5" s="32" t="n">
        <v>0</v>
      </c>
      <c r="G5" s="32" t="n">
        <v>0</v>
      </c>
      <c r="H5" s="32" t="n">
        <v>55000</v>
      </c>
    </row>
    <row r="6">
      <c r="A6" s="35" t="inlineStr">
        <is>
          <t>الحجر البيطري وغرف العزل</t>
        </is>
      </c>
      <c r="B6" s="32" t="n">
        <v>0</v>
      </c>
      <c r="C6" s="32" t="n">
        <v>0</v>
      </c>
      <c r="D6" s="32" t="n">
        <v>0</v>
      </c>
      <c r="E6" s="32" t="n">
        <v>147000</v>
      </c>
      <c r="F6" s="32" t="n">
        <v>0</v>
      </c>
      <c r="G6" s="32" t="n">
        <v>0</v>
      </c>
      <c r="H6" s="32" t="n">
        <v>147000</v>
      </c>
    </row>
    <row r="7">
      <c r="A7" s="35" t="inlineStr">
        <is>
          <t>الخزانات ونظام توزيع مياه الشرب</t>
        </is>
      </c>
      <c r="B7" s="32" t="n">
        <v>80000</v>
      </c>
      <c r="C7" s="32" t="n">
        <v>0</v>
      </c>
      <c r="D7" s="32" t="n">
        <v>0</v>
      </c>
      <c r="E7" s="32" t="n">
        <v>0</v>
      </c>
      <c r="F7" s="32" t="n">
        <v>20000</v>
      </c>
      <c r="G7" s="32" t="n">
        <v>0</v>
      </c>
      <c r="H7" s="32" t="n">
        <v>100000</v>
      </c>
    </row>
    <row r="8">
      <c r="A8" s="35" t="inlineStr">
        <is>
          <t>بلتات تخزين قش الرز</t>
        </is>
      </c>
      <c r="B8" s="32" t="n">
        <v>0</v>
      </c>
      <c r="C8" s="32" t="n">
        <v>52500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52500</v>
      </c>
    </row>
    <row r="9">
      <c r="A9" s="35" t="inlineStr">
        <is>
          <t>تجهيزات الحجر البيطري</t>
        </is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36500</v>
      </c>
      <c r="G9" s="32" t="n">
        <v>0</v>
      </c>
      <c r="H9" s="32" t="n">
        <v>36500</v>
      </c>
    </row>
    <row r="10">
      <c r="A10" s="35" t="inlineStr">
        <is>
          <t>جرار زراعي 20 حصان</t>
        </is>
      </c>
      <c r="B10" s="32" t="n">
        <v>250000</v>
      </c>
      <c r="C10" s="32" t="n">
        <v>0</v>
      </c>
      <c r="D10" s="32" t="n">
        <v>0</v>
      </c>
      <c r="E10" s="32" t="n">
        <v>0</v>
      </c>
      <c r="F10" s="32" t="n">
        <v>0</v>
      </c>
      <c r="G10" s="32" t="n">
        <v>0</v>
      </c>
      <c r="H10" s="32" t="n">
        <v>250000</v>
      </c>
    </row>
    <row r="11">
      <c r="A11" s="35" t="inlineStr">
        <is>
          <t>حواجز الحظائر وخطوط الأعلاف</t>
        </is>
      </c>
      <c r="B11" s="32" t="n">
        <v>207600</v>
      </c>
      <c r="C11" s="32" t="n">
        <v>0</v>
      </c>
      <c r="D11" s="32" t="n">
        <v>25950</v>
      </c>
      <c r="E11" s="32" t="n">
        <v>0</v>
      </c>
      <c r="F11" s="32" t="n">
        <v>25950</v>
      </c>
      <c r="G11" s="32" t="n">
        <v>0</v>
      </c>
      <c r="H11" s="32" t="n">
        <v>259500</v>
      </c>
    </row>
    <row r="12">
      <c r="A12" s="35" t="inlineStr">
        <is>
          <t xml:space="preserve">خط تغذية التيار ولوحة التوزيع </t>
        </is>
      </c>
      <c r="B12" s="32" t="n">
        <v>57000</v>
      </c>
      <c r="C12" s="32" t="n">
        <v>38000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95000</v>
      </c>
    </row>
    <row r="13">
      <c r="A13" s="35" t="inlineStr">
        <is>
          <t>شبكات الصرف وتجفيف أرضيات العنابر</t>
        </is>
      </c>
      <c r="B13" s="32" t="n">
        <v>44100</v>
      </c>
      <c r="C13" s="32" t="n">
        <v>73500</v>
      </c>
      <c r="D13" s="32" t="n">
        <v>0</v>
      </c>
      <c r="E13" s="32" t="n">
        <v>29400</v>
      </c>
      <c r="F13" s="32" t="n">
        <v>0</v>
      </c>
      <c r="G13" s="32" t="n">
        <v>0</v>
      </c>
      <c r="H13" s="32" t="n">
        <v>147000</v>
      </c>
    </row>
    <row r="14">
      <c r="A14" s="35" t="inlineStr">
        <is>
          <t>عزاقة ومكنسة ملحقة بالجرار</t>
        </is>
      </c>
      <c r="B14" s="32" t="n">
        <v>0</v>
      </c>
      <c r="C14" s="32" t="n">
        <v>0</v>
      </c>
      <c r="D14" s="32" t="n">
        <v>0</v>
      </c>
      <c r="E14" s="32" t="n">
        <v>0</v>
      </c>
      <c r="F14" s="32" t="n">
        <v>65000</v>
      </c>
      <c r="G14" s="32" t="n">
        <v>0</v>
      </c>
      <c r="H14" s="32" t="n">
        <v>65000</v>
      </c>
    </row>
    <row r="15">
      <c r="A15" s="35" t="inlineStr">
        <is>
          <t>عنابر التربية</t>
        </is>
      </c>
      <c r="B15" s="32" t="n">
        <v>1527414</v>
      </c>
      <c r="C15" s="32" t="n">
        <v>0</v>
      </c>
      <c r="D15" s="32" t="n">
        <v>218202</v>
      </c>
      <c r="E15" s="32" t="n">
        <v>109101</v>
      </c>
      <c r="F15" s="32" t="n">
        <v>109101</v>
      </c>
      <c r="G15" s="32" t="n">
        <v>218202</v>
      </c>
      <c r="H15" s="32" t="n">
        <v>2182020</v>
      </c>
    </row>
    <row r="16">
      <c r="A16" s="35" t="inlineStr">
        <is>
          <t xml:space="preserve">مفرمة للقش 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60000</v>
      </c>
      <c r="G16" s="32" t="n">
        <v>0</v>
      </c>
      <c r="H16" s="32" t="n">
        <v>60000</v>
      </c>
    </row>
    <row r="17">
      <c r="A17" s="35" t="inlineStr">
        <is>
          <t>مقطورة للجرار</t>
        </is>
      </c>
      <c r="B17" s="32" t="n">
        <v>0</v>
      </c>
      <c r="C17" s="32" t="n">
        <v>0</v>
      </c>
      <c r="D17" s="32" t="n">
        <v>0</v>
      </c>
      <c r="E17" s="32" t="n">
        <v>0</v>
      </c>
      <c r="F17" s="32" t="n">
        <v>80000</v>
      </c>
      <c r="G17" s="32" t="n">
        <v>0</v>
      </c>
      <c r="H17" s="32" t="n">
        <v>80000</v>
      </c>
    </row>
    <row r="18">
      <c r="A18" s="35" t="inlineStr">
        <is>
          <t>Grand Total</t>
        </is>
      </c>
      <c r="B18" s="32" t="n">
        <v>2187114</v>
      </c>
      <c r="C18" s="32" t="n">
        <v>206000</v>
      </c>
      <c r="D18" s="32" t="n">
        <v>309152</v>
      </c>
      <c r="E18" s="32" t="n">
        <v>296501</v>
      </c>
      <c r="F18" s="32" t="n">
        <v>396551</v>
      </c>
      <c r="G18" s="32" t="n">
        <v>218202</v>
      </c>
      <c r="H18" s="32" t="n">
        <v>3613520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4"/>
    <outlinePr summaryBelow="1" summaryRight="1"/>
    <pageSetUpPr/>
  </sheetPr>
  <dimension ref="A2:H17"/>
  <sheetViews>
    <sheetView rightToLeft="1" workbookViewId="0">
      <selection activeCell="A20" sqref="A20"/>
    </sheetView>
  </sheetViews>
  <sheetFormatPr baseColWidth="8" defaultColWidth="9.109375" defaultRowHeight="13.8"/>
  <cols>
    <col width="39.44140625" bestFit="1" customWidth="1" style="41" min="1" max="1"/>
    <col width="15.88671875" bestFit="1" customWidth="1" style="41" min="2" max="2"/>
    <col width="13.33203125" bestFit="1" customWidth="1" style="41" min="3" max="7"/>
    <col width="16" bestFit="1" customWidth="1" style="41" min="8" max="8"/>
    <col width="30.33203125" bestFit="1" customWidth="1" style="41" min="9" max="9"/>
    <col width="19.5546875" bestFit="1" customWidth="1" style="41" min="10" max="10"/>
    <col width="18.88671875" bestFit="1" customWidth="1" style="41" min="11" max="15"/>
    <col width="21.109375" bestFit="1" customWidth="1" style="41" min="16" max="16"/>
    <col width="9.109375" customWidth="1" style="41" min="17" max="16384"/>
  </cols>
  <sheetData>
    <row r="1" ht="190.5" customHeight="1" s="105"/>
    <row r="2">
      <c r="A2" s="41" t="inlineStr">
        <is>
          <t>البند</t>
        </is>
      </c>
      <c r="B2" s="41" t="inlineStr">
        <is>
          <t>دفعة التعاقد</t>
        </is>
      </c>
      <c r="C2" s="41" t="inlineStr">
        <is>
          <t>الأسبوع 1</t>
        </is>
      </c>
      <c r="D2" s="41" t="inlineStr">
        <is>
          <t>الأسبوع 2</t>
        </is>
      </c>
      <c r="E2" s="41" t="inlineStr">
        <is>
          <t>الأسبوع 3</t>
        </is>
      </c>
      <c r="F2" s="41" t="inlineStr">
        <is>
          <t>الأسبوع 4</t>
        </is>
      </c>
      <c r="G2" s="41" t="inlineStr">
        <is>
          <t>الأسبوع 5</t>
        </is>
      </c>
      <c r="H2" s="41" t="inlineStr">
        <is>
          <t>إجمالي البند</t>
        </is>
      </c>
    </row>
    <row r="3">
      <c r="A3" s="41" t="inlineStr">
        <is>
          <t>ابار تخمير الكومبوست</t>
        </is>
      </c>
      <c r="B3" s="41" t="n">
        <v>21000</v>
      </c>
      <c r="C3" s="41" t="n">
        <v>42000</v>
      </c>
      <c r="D3" s="41" t="n">
        <v>21000</v>
      </c>
      <c r="E3" s="41" t="n">
        <v>0</v>
      </c>
      <c r="F3" s="41" t="n">
        <v>0</v>
      </c>
      <c r="G3" s="41" t="n">
        <v>0</v>
      </c>
      <c r="H3" s="41" t="n">
        <v>84000</v>
      </c>
    </row>
    <row r="4">
      <c r="A4" s="41" t="inlineStr">
        <is>
          <t>الإنارة والكاميرات وأنظمة التحكم</t>
        </is>
      </c>
      <c r="B4" s="41" t="n">
        <v>0</v>
      </c>
      <c r="C4" s="41" t="n">
        <v>0</v>
      </c>
      <c r="D4" s="41" t="n">
        <v>44000</v>
      </c>
      <c r="E4" s="41" t="n">
        <v>11000</v>
      </c>
      <c r="F4" s="41" t="n">
        <v>0</v>
      </c>
      <c r="G4" s="41" t="n">
        <v>0</v>
      </c>
      <c r="H4" s="41" t="n">
        <v>55000</v>
      </c>
    </row>
    <row r="5" hidden="1" s="105">
      <c r="A5" s="41" t="inlineStr">
        <is>
          <t>الحجر البيطري وغرف العزل</t>
        </is>
      </c>
      <c r="B5" s="41" t="n">
        <v>0</v>
      </c>
      <c r="C5" s="41" t="n">
        <v>0</v>
      </c>
      <c r="D5" s="41" t="n">
        <v>0</v>
      </c>
      <c r="E5" s="41" t="n">
        <v>147000</v>
      </c>
      <c r="F5" s="41" t="n">
        <v>0</v>
      </c>
      <c r="G5" s="41" t="n">
        <v>0</v>
      </c>
      <c r="H5" s="41" t="n">
        <v>147000</v>
      </c>
    </row>
    <row r="6">
      <c r="A6" s="41" t="inlineStr">
        <is>
          <t>الخزانات ونظام توزيع مياه الشرب</t>
        </is>
      </c>
      <c r="B6" s="41" t="n">
        <v>80000</v>
      </c>
      <c r="C6" s="41" t="n">
        <v>0</v>
      </c>
      <c r="D6" s="41" t="n">
        <v>0</v>
      </c>
      <c r="E6" s="41" t="n">
        <v>0</v>
      </c>
      <c r="F6" s="41" t="n">
        <v>20000</v>
      </c>
      <c r="G6" s="41" t="n">
        <v>0</v>
      </c>
      <c r="H6" s="41" t="n">
        <v>100000</v>
      </c>
    </row>
    <row r="7">
      <c r="A7" s="41" t="inlineStr">
        <is>
          <t>بلتات تخزين قش الرز</t>
        </is>
      </c>
      <c r="B7" s="41" t="n">
        <v>0</v>
      </c>
      <c r="C7" s="41" t="n">
        <v>52500</v>
      </c>
      <c r="D7" s="41" t="n">
        <v>0</v>
      </c>
      <c r="E7" s="41" t="n">
        <v>0</v>
      </c>
      <c r="F7" s="41" t="n">
        <v>0</v>
      </c>
      <c r="G7" s="41" t="n">
        <v>0</v>
      </c>
      <c r="H7" s="41" t="n">
        <v>52500</v>
      </c>
    </row>
    <row r="8" hidden="1" s="105">
      <c r="A8" s="41" t="inlineStr">
        <is>
          <t>تجهيزات الحجر البيطري</t>
        </is>
      </c>
      <c r="B8" s="41" t="n">
        <v>0</v>
      </c>
      <c r="C8" s="41" t="n">
        <v>0</v>
      </c>
      <c r="D8" s="41" t="n">
        <v>0</v>
      </c>
      <c r="E8" s="41" t="n">
        <v>0</v>
      </c>
      <c r="F8" s="41" t="n">
        <v>36500</v>
      </c>
      <c r="G8" s="41" t="n">
        <v>0</v>
      </c>
      <c r="H8" s="41" t="n">
        <v>36500</v>
      </c>
    </row>
    <row r="9">
      <c r="A9" s="41" t="inlineStr">
        <is>
          <t>جرار زراعي 20 حصان</t>
        </is>
      </c>
      <c r="B9" s="41" t="n">
        <v>250000</v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1" t="n">
        <v>250000</v>
      </c>
    </row>
    <row r="10">
      <c r="A10" s="41" t="inlineStr">
        <is>
          <t>حواجز الحظائر وخطوط الأعلاف</t>
        </is>
      </c>
      <c r="B10" s="41" t="n">
        <v>207600</v>
      </c>
      <c r="C10" s="41" t="n">
        <v>0</v>
      </c>
      <c r="D10" s="41" t="n">
        <v>25950</v>
      </c>
      <c r="E10" s="41" t="n">
        <v>0</v>
      </c>
      <c r="F10" s="41" t="n">
        <v>25950</v>
      </c>
      <c r="G10" s="41" t="n">
        <v>0</v>
      </c>
      <c r="H10" s="41" t="n">
        <v>259500</v>
      </c>
    </row>
    <row r="11" hidden="1" s="105">
      <c r="A11" s="41" t="inlineStr">
        <is>
          <t>خط تغذية التيار ولوحة التوزيع</t>
        </is>
      </c>
      <c r="B11" s="41" t="n">
        <v>57000</v>
      </c>
      <c r="C11" s="41" t="n">
        <v>38000</v>
      </c>
      <c r="D11" s="41" t="n">
        <v>0</v>
      </c>
      <c r="E11" s="41" t="n">
        <v>0</v>
      </c>
      <c r="F11" s="41" t="n">
        <v>0</v>
      </c>
      <c r="G11" s="41" t="n">
        <v>0</v>
      </c>
      <c r="H11" s="41" t="n">
        <v>95000</v>
      </c>
    </row>
    <row r="12">
      <c r="A12" s="41" t="inlineStr">
        <is>
          <t>شبكات الصرف وتجفيف أرضيات العنابر</t>
        </is>
      </c>
      <c r="B12" s="41" t="n">
        <v>44100</v>
      </c>
      <c r="C12" s="41" t="n">
        <v>73500</v>
      </c>
      <c r="D12" s="41" t="n">
        <v>0</v>
      </c>
      <c r="E12" s="41" t="n">
        <v>29400</v>
      </c>
      <c r="F12" s="41" t="n">
        <v>0</v>
      </c>
      <c r="G12" s="41" t="n">
        <v>0</v>
      </c>
      <c r="H12" s="41" t="n">
        <v>147000</v>
      </c>
    </row>
    <row r="13">
      <c r="A13" s="41" t="inlineStr">
        <is>
          <t>عزاقة ومكنسة ملحقة بالجرار</t>
        </is>
      </c>
      <c r="B13" s="41" t="n">
        <v>0</v>
      </c>
      <c r="C13" s="41" t="n">
        <v>0</v>
      </c>
      <c r="D13" s="41" t="n">
        <v>0</v>
      </c>
      <c r="E13" s="41" t="n">
        <v>0</v>
      </c>
      <c r="F13" s="41" t="n">
        <v>65000</v>
      </c>
      <c r="G13" s="41" t="n">
        <v>0</v>
      </c>
      <c r="H13" s="41" t="n">
        <v>65000</v>
      </c>
    </row>
    <row r="14">
      <c r="A14" s="41" t="inlineStr">
        <is>
          <t>عنابر التربية</t>
        </is>
      </c>
      <c r="B14" s="41" t="n">
        <v>1527414</v>
      </c>
      <c r="C14" s="41" t="n">
        <v>0</v>
      </c>
      <c r="D14" s="41" t="n">
        <v>218202</v>
      </c>
      <c r="E14" s="41" t="n">
        <v>109101</v>
      </c>
      <c r="F14" s="41" t="n">
        <v>109101</v>
      </c>
      <c r="G14" s="41" t="n">
        <v>218202</v>
      </c>
      <c r="H14" s="41" t="n">
        <v>2182020</v>
      </c>
    </row>
    <row r="15">
      <c r="A15" s="41" t="inlineStr">
        <is>
          <t>مفرمة للقش</t>
        </is>
      </c>
      <c r="B15" s="41" t="n">
        <v>0</v>
      </c>
      <c r="C15" s="41" t="n">
        <v>0</v>
      </c>
      <c r="D15" s="41" t="n">
        <v>0</v>
      </c>
      <c r="E15" s="41" t="n">
        <v>0</v>
      </c>
      <c r="F15" s="41" t="n">
        <v>60000</v>
      </c>
      <c r="G15" s="41" t="n">
        <v>0</v>
      </c>
      <c r="H15" s="41" t="n">
        <v>60000</v>
      </c>
    </row>
    <row r="16">
      <c r="A16" s="41" t="inlineStr">
        <is>
          <t>مقطورة للجرار</t>
        </is>
      </c>
      <c r="B16" s="41" t="n">
        <v>0</v>
      </c>
      <c r="C16" s="41" t="n">
        <v>0</v>
      </c>
      <c r="D16" s="41" t="n">
        <v>0</v>
      </c>
      <c r="E16" s="41" t="n">
        <v>0</v>
      </c>
      <c r="F16" s="41" t="n">
        <v>80000</v>
      </c>
      <c r="G16" s="41" t="n">
        <v>0</v>
      </c>
      <c r="H16" s="41" t="n">
        <v>80000</v>
      </c>
    </row>
    <row r="17" hidden="1" s="105">
      <c r="A17" s="41" t="inlineStr">
        <is>
          <t>Grand Total</t>
        </is>
      </c>
      <c r="B17" s="41" t="n">
        <v>2187114</v>
      </c>
      <c r="C17" s="41" t="n">
        <v>206000</v>
      </c>
      <c r="D17" s="41" t="n">
        <v>309152</v>
      </c>
      <c r="E17" s="41" t="n">
        <v>296501</v>
      </c>
      <c r="F17" s="41" t="n">
        <v>396551</v>
      </c>
      <c r="G17" s="41" t="n">
        <v>218202</v>
      </c>
      <c r="H17" s="41" t="n">
        <v>3613520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/>
    <outlinePr summaryBelow="1" summaryRight="1"/>
    <pageSetUpPr autoPageBreaks="0" fitToPage="1"/>
  </sheetPr>
  <dimension ref="A2:K18"/>
  <sheetViews>
    <sheetView showGridLines="0" rightToLeft="1" zoomScaleNormal="100" zoomScaleSheetLayoutView="100" workbookViewId="0">
      <selection activeCell="F5" sqref="F5"/>
    </sheetView>
  </sheetViews>
  <sheetFormatPr baseColWidth="8" defaultColWidth="8.88671875" defaultRowHeight="21" customHeight="1"/>
  <cols>
    <col width="2.5546875" customWidth="1" style="1" min="1" max="1"/>
    <col width="27.44140625" customWidth="1" style="1" min="2" max="2"/>
    <col width="15.88671875" bestFit="1" customWidth="1" style="6" min="3" max="5"/>
    <col width="14.109375" bestFit="1" customWidth="1" style="6" min="6" max="6"/>
    <col width="15.6640625" customWidth="1" style="6" min="7" max="7"/>
    <col width="14.109375" bestFit="1" customWidth="1" style="6" min="8" max="10"/>
    <col width="12.6640625" bestFit="1" customWidth="1" style="6" min="11" max="11"/>
    <col width="8.88671875" customWidth="1" style="1" min="12" max="16384"/>
  </cols>
  <sheetData>
    <row r="1" ht="136.5" customHeight="1" s="105"/>
    <row r="2" ht="21.9" customHeight="1" s="105">
      <c r="A2" s="4" t="n"/>
      <c r="B2" s="29" t="inlineStr">
        <is>
          <t>الإنشائات</t>
        </is>
      </c>
      <c r="C2" s="30" t="inlineStr">
        <is>
          <t>المبلغ بالجنيه</t>
        </is>
      </c>
      <c r="D2" s="31" t="inlineStr">
        <is>
          <t>عند التعاقد</t>
        </is>
      </c>
      <c r="E2" s="31" t="inlineStr">
        <is>
          <t>الأسبوع 1</t>
        </is>
      </c>
      <c r="F2" s="31" t="inlineStr">
        <is>
          <t>الأسبوع 2</t>
        </is>
      </c>
      <c r="G2" s="31" t="inlineStr">
        <is>
          <t>الأسبوع 3</t>
        </is>
      </c>
      <c r="H2" s="31" t="inlineStr">
        <is>
          <t>الأسبوع 4</t>
        </is>
      </c>
      <c r="I2" s="31" t="inlineStr">
        <is>
          <t>الأسبوع 5</t>
        </is>
      </c>
      <c r="J2" s="39" t="inlineStr">
        <is>
          <t>إجمالي البند</t>
        </is>
      </c>
      <c r="K2" s="1" t="n"/>
    </row>
    <row r="3" ht="21" customHeight="1" s="105">
      <c r="A3" s="4" t="n"/>
      <c r="B3" s="24" t="inlineStr">
        <is>
          <t>عنابر التربية</t>
        </is>
      </c>
      <c r="C3" s="25">
        <f>2182020</f>
        <v/>
      </c>
      <c r="D3" s="13">
        <f>'المصروف الافتتاحي (2)'!$C3*0.7</f>
        <v/>
      </c>
      <c r="E3" s="13">
        <f>'المصروف الافتتاحي (2)'!$C3*0</f>
        <v/>
      </c>
      <c r="F3" s="13">
        <f>'المصروف الافتتاحي (2)'!$C3*0.1</f>
        <v/>
      </c>
      <c r="G3" s="25">
        <f>'المصروف الافتتاحي (2)'!$C3*0.05</f>
        <v/>
      </c>
      <c r="H3" s="13">
        <f>Table812[[#This Row],[المبلغ بالجنيه]]*0.05</f>
        <v/>
      </c>
      <c r="I3" s="13">
        <f>'المصروف الافتتاحي (2)'!$C3*0.1</f>
        <v/>
      </c>
      <c r="J3" s="40">
        <f>SUM(D3,H3,G3,F3,E3,I3)</f>
        <v/>
      </c>
      <c r="K3" s="1" t="n"/>
    </row>
    <row r="4" ht="21" customHeight="1" s="105">
      <c r="A4" s="4" t="n"/>
      <c r="B4" s="26" t="inlineStr">
        <is>
          <t>الحجر البيطري وغرف العزل</t>
        </is>
      </c>
      <c r="C4" s="14" t="n">
        <v>147000</v>
      </c>
      <c r="D4" s="14" t="n">
        <v>0</v>
      </c>
      <c r="E4" s="14" t="n">
        <v>0</v>
      </c>
      <c r="F4" s="14" t="n">
        <v>0</v>
      </c>
      <c r="G4" s="14">
        <f>'المصروف الافتتاحي (2)'!$C4</f>
        <v/>
      </c>
      <c r="H4" s="14">
        <f>Table812[[#This Row],[المبلغ بالجنيه]]*0</f>
        <v/>
      </c>
      <c r="I4" s="14" t="n">
        <v>0</v>
      </c>
      <c r="J4" s="40">
        <f>SUM(D4,H4,G4,F4,E4,I4)</f>
        <v/>
      </c>
      <c r="K4" s="1" t="n"/>
    </row>
    <row r="5" ht="21" customHeight="1" s="105">
      <c r="A5" s="4" t="n"/>
      <c r="B5" s="27" t="inlineStr">
        <is>
          <t>ابار تخمير الكومبوست</t>
        </is>
      </c>
      <c r="C5" s="13" t="n">
        <v>84000</v>
      </c>
      <c r="D5" s="13">
        <f>'المصروف الافتتاحي (2)'!$C5*0.25</f>
        <v/>
      </c>
      <c r="E5" s="13">
        <f>'المصروف الافتتاحي (2)'!$C5*0.5</f>
        <v/>
      </c>
      <c r="F5" s="13">
        <f>'المصروف الافتتاحي (2)'!$C5*0.25</f>
        <v/>
      </c>
      <c r="G5" s="13" t="n">
        <v>0</v>
      </c>
      <c r="H5" s="13">
        <f>Table812[[#This Row],[المبلغ بالجنيه]]*0</f>
        <v/>
      </c>
      <c r="I5" s="13" t="n">
        <v>0</v>
      </c>
      <c r="J5" s="40">
        <f>SUM(D5,H5,G5,F5,E5,I5)</f>
        <v/>
      </c>
      <c r="K5" s="1" t="n"/>
    </row>
    <row r="6" ht="21" customHeight="1" s="105">
      <c r="A6" s="4" t="n"/>
      <c r="B6" s="26" t="inlineStr">
        <is>
          <t>حواجز الحظائر وخطوط الأعلاف</t>
        </is>
      </c>
      <c r="C6" s="14" t="n">
        <v>259500</v>
      </c>
      <c r="D6" s="14">
        <f>'المصروف الافتتاحي (2)'!$C6*0.8</f>
        <v/>
      </c>
      <c r="E6" s="14">
        <f>'المصروف الافتتاحي (2)'!$C6*0</f>
        <v/>
      </c>
      <c r="F6" s="14">
        <f>'المصروف الافتتاحي (2)'!$C6*0.1</f>
        <v/>
      </c>
      <c r="G6" s="14">
        <f>'المصروف الافتتاحي (2)'!$C6*0</f>
        <v/>
      </c>
      <c r="H6" s="14">
        <f>Table812[[#This Row],[المبلغ بالجنيه]]*0.1</f>
        <v/>
      </c>
      <c r="I6" s="14">
        <f>'المصروف الافتتاحي (2)'!$C6*0</f>
        <v/>
      </c>
      <c r="J6" s="40">
        <f>SUM(D6,H6,G6,F6,E6,I6)</f>
        <v/>
      </c>
      <c r="K6" s="1" t="n"/>
    </row>
    <row r="7" ht="21" customHeight="1" s="105">
      <c r="A7" s="4" t="n"/>
      <c r="B7" s="24" t="inlineStr">
        <is>
          <t>شبكات الصرف وتجفيف أرضيات العنابر</t>
        </is>
      </c>
      <c r="C7" s="36" t="n">
        <v>147000</v>
      </c>
      <c r="D7" s="25">
        <f>'المصروف الافتتاحي (2)'!$C7*0.3</f>
        <v/>
      </c>
      <c r="E7" s="25">
        <f>'المصروف الافتتاحي (2)'!$C7*0.5</f>
        <v/>
      </c>
      <c r="F7" s="25" t="n">
        <v>0</v>
      </c>
      <c r="G7" s="36">
        <f>'المصروف الافتتاحي (2)'!$C7*0.2</f>
        <v/>
      </c>
      <c r="H7" s="25">
        <f>Table812[[#This Row],[المبلغ بالجنيه]]*0</f>
        <v/>
      </c>
      <c r="I7" s="25" t="n">
        <v>0</v>
      </c>
      <c r="J7" s="40">
        <f>SUM(D7,H7,G7,F7,E7,I7)</f>
        <v/>
      </c>
      <c r="K7" s="1" t="n"/>
    </row>
    <row r="8" ht="21" customHeight="1" s="105">
      <c r="A8" s="4" t="n"/>
      <c r="B8" s="26" t="inlineStr">
        <is>
          <t xml:space="preserve">خط تغذية التيار ولوحة التوزيع </t>
        </is>
      </c>
      <c r="C8" s="37">
        <f>95000</f>
        <v/>
      </c>
      <c r="D8" s="14">
        <f>0.6*'المصروف الافتتاحي (2)'!$C8</f>
        <v/>
      </c>
      <c r="E8" s="14">
        <f>'المصروف الافتتاحي (2)'!$C8*0.4</f>
        <v/>
      </c>
      <c r="F8" s="14" t="n">
        <v>0</v>
      </c>
      <c r="G8" s="37" t="n">
        <v>0</v>
      </c>
      <c r="H8" s="14">
        <f>Table812[[#This Row],[المبلغ بالجنيه]]*0</f>
        <v/>
      </c>
      <c r="I8" s="14" t="n">
        <v>0</v>
      </c>
      <c r="J8" s="40">
        <f>SUM(D8,H8,G8,F8,E8,I8)</f>
        <v/>
      </c>
      <c r="K8" s="1" t="n"/>
    </row>
    <row r="9" ht="21" customHeight="1" s="105">
      <c r="A9" s="4" t="n"/>
      <c r="B9" s="27" t="inlineStr">
        <is>
          <t xml:space="preserve">الإنارة والكاميرات وأنظمة التحكم </t>
        </is>
      </c>
      <c r="C9" s="38" t="n">
        <v>55000</v>
      </c>
      <c r="D9" s="13">
        <f>0*'المصروف الافتتاحي (2)'!$C9</f>
        <v/>
      </c>
      <c r="E9" s="13">
        <f>'المصروف الافتتاحي (2)'!$C9*0</f>
        <v/>
      </c>
      <c r="F9" s="13">
        <f>'المصروف الافتتاحي (2)'!$C9*0.8</f>
        <v/>
      </c>
      <c r="G9" s="25">
        <f>'المصروف الافتتاحي (2)'!$C9*0.2</f>
        <v/>
      </c>
      <c r="H9" s="13">
        <f>Table812[[#This Row],[المبلغ بالجنيه]]*0</f>
        <v/>
      </c>
      <c r="I9" s="13">
        <f>'المصروف الافتتاحي (2)'!$C9*0</f>
        <v/>
      </c>
      <c r="J9" s="40">
        <f>SUM(D9,H9,G9,F9,E9,I9)</f>
        <v/>
      </c>
      <c r="K9" s="1" t="n"/>
    </row>
    <row r="10" ht="21" customHeight="1" s="105">
      <c r="A10" s="4" t="n"/>
      <c r="B10" s="26" t="inlineStr">
        <is>
          <t>بلتات تخزين قش الرز</t>
        </is>
      </c>
      <c r="C10" s="37" t="n">
        <v>52500</v>
      </c>
      <c r="D10" s="14">
        <f>0*'المصروف الافتتاحي (2)'!$C10</f>
        <v/>
      </c>
      <c r="E10" s="14">
        <f>'المصروف الافتتاحي (2)'!$C10*1</f>
        <v/>
      </c>
      <c r="F10" s="14">
        <f>'المصروف الافتتاحي (2)'!$C10*0</f>
        <v/>
      </c>
      <c r="G10" s="14">
        <f>'المصروف الافتتاحي (2)'!$C10*0</f>
        <v/>
      </c>
      <c r="H10" s="14">
        <f>Table812[[#This Row],[المبلغ بالجنيه]]*0</f>
        <v/>
      </c>
      <c r="I10" s="14">
        <f>'المصروف الافتتاحي (2)'!$C10*0</f>
        <v/>
      </c>
      <c r="J10" s="40">
        <f>SUM(D10,H10,G10,F10,E10,I10)</f>
        <v/>
      </c>
      <c r="K10" s="1" t="n"/>
    </row>
    <row r="11" ht="21" customHeight="1" s="105">
      <c r="A11" s="4" t="n"/>
      <c r="B11" s="27" t="inlineStr">
        <is>
          <t>الخزانات ونظام توزيع مياه الشرب</t>
        </is>
      </c>
      <c r="C11" s="25" t="n">
        <v>100000</v>
      </c>
      <c r="D11" s="13">
        <f>'المصروف الافتتاحي (2)'!$C11*0.8</f>
        <v/>
      </c>
      <c r="E11" s="25">
        <f>'المصروف الافتتاحي (2)'!$C11*0</f>
        <v/>
      </c>
      <c r="F11" s="13">
        <f>'المصروف الافتتاحي (2)'!$C11*0</f>
        <v/>
      </c>
      <c r="G11" s="13">
        <f>'المصروف الافتتاحي (2)'!$C11*0</f>
        <v/>
      </c>
      <c r="H11" s="25">
        <f>Table812[[#This Row],[المبلغ بالجنيه]]*0.2</f>
        <v/>
      </c>
      <c r="I11" s="13">
        <f>'المصروف الافتتاحي (2)'!$C11*0</f>
        <v/>
      </c>
      <c r="J11" s="40">
        <f>SUM(D11:I11)</f>
        <v/>
      </c>
      <c r="K11" s="1" t="n"/>
    </row>
    <row r="12" ht="21" customHeight="1" s="105">
      <c r="A12" s="4" t="n"/>
      <c r="B12" s="24" t="inlineStr">
        <is>
          <t>جرار زراعي 20 حصان</t>
        </is>
      </c>
      <c r="C12" s="14" t="n">
        <v>250000</v>
      </c>
      <c r="D12" s="14">
        <f>'المصروف الافتتاحي (2)'!$C12*1</f>
        <v/>
      </c>
      <c r="E12" s="14">
        <f>0*'المصروف الافتتاحي (2)'!$C12</f>
        <v/>
      </c>
      <c r="F12" s="14">
        <f>0*'المصروف الافتتاحي (2)'!$C12</f>
        <v/>
      </c>
      <c r="G12" s="14">
        <f>0*'المصروف الافتتاحي (2)'!$C12</f>
        <v/>
      </c>
      <c r="H12" s="14">
        <f>Table812[[#This Row],[المبلغ بالجنيه]]*0</f>
        <v/>
      </c>
      <c r="I12" s="14">
        <f>0*'المصروف الافتتاحي (2)'!$C12</f>
        <v/>
      </c>
      <c r="J12" s="40">
        <f>SUM(D12:I12)</f>
        <v/>
      </c>
      <c r="K12" s="1" t="n"/>
    </row>
    <row r="13" ht="21" customHeight="1" s="105">
      <c r="A13" s="4" t="n"/>
      <c r="B13" s="26" t="inlineStr">
        <is>
          <t xml:space="preserve">مفرمة للقش </t>
        </is>
      </c>
      <c r="C13" s="13" t="n">
        <v>60000</v>
      </c>
      <c r="D13" s="13" t="n">
        <v>0</v>
      </c>
      <c r="E13" s="13">
        <f>0*'المصروف الافتتاحي (2)'!$C13</f>
        <v/>
      </c>
      <c r="F13" s="13">
        <f>0*'المصروف الافتتاحي (2)'!$C13</f>
        <v/>
      </c>
      <c r="G13" s="25">
        <f>0*'المصروف الافتتاحي (2)'!$C13</f>
        <v/>
      </c>
      <c r="H13" s="13">
        <f>Table812[[#This Row],[المبلغ بالجنيه]]*1</f>
        <v/>
      </c>
      <c r="I13" s="13">
        <f>0*'المصروف الافتتاحي (2)'!$C13</f>
        <v/>
      </c>
      <c r="J13" s="40">
        <f>SUM(D13:I13)</f>
        <v/>
      </c>
      <c r="K13" s="1" t="n"/>
    </row>
    <row r="14" ht="21" customHeight="1" s="105">
      <c r="A14" s="4" t="n"/>
      <c r="B14" s="27" t="inlineStr">
        <is>
          <t>مقطورة للجرار</t>
        </is>
      </c>
      <c r="C14" s="14" t="n">
        <v>80000</v>
      </c>
      <c r="D14" s="14" t="n">
        <v>0</v>
      </c>
      <c r="E14" s="14">
        <f>0*'المصروف الافتتاحي (2)'!$C14</f>
        <v/>
      </c>
      <c r="F14" s="14">
        <f>0*'المصروف الافتتاحي (2)'!$C14</f>
        <v/>
      </c>
      <c r="G14" s="14">
        <f>0*'المصروف الافتتاحي (2)'!$C14</f>
        <v/>
      </c>
      <c r="H14" s="14">
        <f>Table812[[#This Row],[المبلغ بالجنيه]]*1</f>
        <v/>
      </c>
      <c r="I14" s="14">
        <f>0*'المصروف الافتتاحي (2)'!$C14</f>
        <v/>
      </c>
      <c r="J14" s="40">
        <f>SUM(D14:I14)</f>
        <v/>
      </c>
      <c r="K14" s="1" t="n"/>
    </row>
    <row r="15" ht="21" customHeight="1" s="105">
      <c r="A15" s="4" t="n"/>
      <c r="B15" s="26" t="inlineStr">
        <is>
          <t>عزاقة ومكنسة ملحقة بالجرار</t>
        </is>
      </c>
      <c r="C15" s="36" t="n">
        <v>65000</v>
      </c>
      <c r="D15" s="25" t="n">
        <v>0</v>
      </c>
      <c r="E15" s="36">
        <f>0*'المصروف الافتتاحي (2)'!$C15</f>
        <v/>
      </c>
      <c r="F15" s="25">
        <f>0*'المصروف الافتتاحي (2)'!$C15</f>
        <v/>
      </c>
      <c r="G15" s="13">
        <f>0*'المصروف الافتتاحي (2)'!$C15</f>
        <v/>
      </c>
      <c r="H15" s="36">
        <f>Table812[[#This Row],[المبلغ بالجنيه]]*1</f>
        <v/>
      </c>
      <c r="I15" s="25">
        <f>0*'المصروف الافتتاحي (2)'!$C15</f>
        <v/>
      </c>
      <c r="J15" s="40">
        <f>SUM(D15:I15)</f>
        <v/>
      </c>
      <c r="K15" s="1" t="n"/>
    </row>
    <row r="16" ht="21" customHeight="1" s="105">
      <c r="A16" s="4" t="n"/>
      <c r="B16" s="27" t="inlineStr">
        <is>
          <t>تجهيزات الحجر البيطري</t>
        </is>
      </c>
      <c r="C16" s="37" t="n">
        <v>36500</v>
      </c>
      <c r="D16" s="14" t="n">
        <v>0</v>
      </c>
      <c r="E16" s="37">
        <f>0*'المصروف الافتتاحي (2)'!$C16</f>
        <v/>
      </c>
      <c r="F16" s="14">
        <f>0*'المصروف الافتتاحي (2)'!$C16</f>
        <v/>
      </c>
      <c r="G16" s="14">
        <f>0*'المصروف الافتتاحي (2)'!$C16</f>
        <v/>
      </c>
      <c r="H16" s="37">
        <f>Table812[[#This Row],[المبلغ بالجنيه]]*1</f>
        <v/>
      </c>
      <c r="I16" s="14">
        <f>0*'المصروف الافتتاحي (2)'!$C16</f>
        <v/>
      </c>
      <c r="J16" s="40">
        <f>SUM(D16:I16)</f>
        <v/>
      </c>
      <c r="K16" s="1" t="n"/>
    </row>
    <row r="17" ht="21" customHeight="1" s="105">
      <c r="C17" s="36" t="n"/>
      <c r="D17" s="25" t="n"/>
      <c r="E17" s="36" t="n"/>
      <c r="F17" s="25" t="n"/>
      <c r="G17" s="36" t="n"/>
      <c r="H17" s="38" t="n"/>
      <c r="I17" s="13" t="n"/>
    </row>
    <row r="18" ht="21" customHeight="1" s="105">
      <c r="C18" s="38" t="n"/>
      <c r="D18" s="13" t="n"/>
      <c r="E18" s="38" t="n"/>
      <c r="F18" s="13" t="n"/>
      <c r="G18" s="38" t="n"/>
      <c r="H18" s="13" t="n"/>
    </row>
  </sheetData>
  <dataValidations count="2">
    <dataValidation sqref="B2" showDropDown="0" showInputMessage="1" showErrorMessage="1" allowBlank="1" prompt="أدخل المبنى أو العقار أو عدله في هذا العمود ضمن هذا العنوان"/>
    <dataValidation sqref="C2" showDropDown="0" showInputMessage="1" showErrorMessage="1" allowBlank="1" prompt="أدخل المبلغ في هذا العمود ضمن هذا العنوان"/>
  </dataValidations>
  <printOptions horizontalCentered="1"/>
  <pageMargins left="0.25" right="0.25" top="0.75" bottom="0.75" header="0.3" footer="0.3"/>
  <pageSetup orientation="portrait" paperSize="18" scale="9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PNP</dc:creator>
  <dcterms:created xmlns:dcterms="http://purl.org/dc/terms/" xmlns:xsi="http://www.w3.org/2001/XMLSchema-instance" xsi:type="dcterms:W3CDTF">2025-08-26T21:18:14Z</dcterms:created>
  <dcterms:modified xmlns:dcterms="http://purl.org/dc/terms/" xmlns:xsi="http://www.w3.org/2001/XMLSchema-instance" xsi:type="dcterms:W3CDTF">2026-05-26T05:52:16Z</dcterms:modified>
  <cp:lastModifiedBy>Ahmed_ElShennawy</cp:lastModifiedBy>
  <cp:lastPrinted>2025-08-27T12:22:11Z</cp:lastPrinted>
</cp:coreProperties>
</file>