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شروع" sheetId="1" state="visible" r:id="rId1"/>
    <sheet xmlns:r="http://schemas.openxmlformats.org/officeDocument/2006/relationships" name="مقايسة شبكة الري" sheetId="2" state="visible" r:id="rId2"/>
    <sheet xmlns:r="http://schemas.openxmlformats.org/officeDocument/2006/relationships" name="تقدير التكاليف والأربا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1B4332"/>
      <sz val="16"/>
    </font>
    <font>
      <name val="Cairo"/>
      <i val="1"/>
      <color rgb="002D6A4F"/>
      <sz val="12"/>
    </font>
    <font>
      <name val="Cairo"/>
      <b val="1"/>
      <color rgb="00FFFFFF"/>
      <sz val="11"/>
    </font>
    <font>
      <name val="Cairo"/>
      <b val="1"/>
      <color rgb="00000000"/>
      <sz val="10"/>
    </font>
    <font>
      <name val="Cairo"/>
      <color rgb="00000000"/>
      <sz val="10"/>
    </font>
    <font>
      <name val="Cairo"/>
      <b val="1"/>
      <color rgb="001B4332"/>
      <sz val="11"/>
    </font>
    <font>
      <name val="Cairo"/>
      <b val="1"/>
      <color rgb="00FFFFFF"/>
      <sz val="12"/>
    </font>
    <font>
      <name val="Cairo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B7E4C7"/>
        <bgColor rgb="00B7E4C7"/>
      </patternFill>
    </fill>
    <fill>
      <patternFill patternType="solid">
        <fgColor rgb="002D6A4F"/>
        <bgColor rgb="002D6A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433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3" fontId="6" fillId="4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rightToLeft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52" customWidth="1" min="4" max="4"/>
  </cols>
  <sheetData>
    <row r="1" ht="40" customHeight="1">
      <c r="A1" s="1" t="inlineStr">
        <is>
          <t>دراسة جدوى وتخطيط مشروع التكثيف الزراعي (نخيل برحي + روزماري) - مزرعة بارا</t>
        </is>
      </c>
    </row>
    <row r="2" ht="25" customHeight="1">
      <c r="A2" s="2" t="inlineStr">
        <is>
          <t>شركة بارا للإنتاج الحيواني والزراعي والداجني - القطع الشاغرة (3أ، 2أ، 3أ1)</t>
        </is>
      </c>
    </row>
    <row r="3"/>
    <row r="4" ht="24" customHeight="1">
      <c r="A4" s="3" t="inlineStr">
        <is>
          <t>المعلمة الفنية / الاقتصادية</t>
        </is>
      </c>
      <c r="B4" s="3" t="inlineStr">
        <is>
          <t>القيمة المقدرة</t>
        </is>
      </c>
      <c r="C4" s="3" t="inlineStr">
        <is>
          <t>الوحدة</t>
        </is>
      </c>
      <c r="D4" s="3" t="inlineStr">
        <is>
          <t>الوصف والتوجيه الفني</t>
        </is>
      </c>
    </row>
    <row r="5" ht="24" customHeight="1">
      <c r="A5" s="4" t="inlineStr">
        <is>
          <t>المساحة الإجمالية المستهدفة</t>
        </is>
      </c>
      <c r="B5" s="5" t="n">
        <v>6.83</v>
      </c>
      <c r="C5" s="5" t="inlineStr">
        <is>
          <t>فدان</t>
        </is>
      </c>
      <c r="D5" s="6" t="inlineStr">
        <is>
          <t>المساحة المجمعة للقطع الشاغرة الثلاثة أمام المانجو ومزرعة التسمين</t>
        </is>
      </c>
    </row>
    <row r="6" ht="24" customHeight="1">
      <c r="A6" s="7" t="inlineStr">
        <is>
          <t>صنف النخيل الرئيسي</t>
        </is>
      </c>
      <c r="B6" s="8" t="inlineStr">
        <is>
          <t>بلح برحي (Barhi)</t>
        </is>
      </c>
      <c r="C6" s="8" t="inlineStr">
        <is>
          <t>—</t>
        </is>
      </c>
      <c r="D6" s="9" t="inlineStr">
        <is>
          <t>فسائل نسيجية عالية الجودة ومطابقة للصنف والتصدير</t>
        </is>
      </c>
    </row>
    <row r="7" ht="24" customHeight="1">
      <c r="A7" s="7" t="inlineStr">
        <is>
          <t>مسافات زراعة النخيل</t>
        </is>
      </c>
      <c r="B7" s="8" t="inlineStr">
        <is>
          <t>8 × 8</t>
        </is>
      </c>
      <c r="C7" s="8" t="inlineStr">
        <is>
          <t>متر</t>
        </is>
      </c>
      <c r="D7" s="9" t="inlineStr">
        <is>
          <t>مسافة قياسية تسمح بالتحميل الكثيف وعمليات الخدمة الميكانيكية</t>
        </is>
      </c>
    </row>
    <row r="8" ht="24" customHeight="1">
      <c r="A8" s="7" t="inlineStr">
        <is>
          <t>عدد النخيل بالفدان الواحد</t>
        </is>
      </c>
      <c r="B8" s="8" t="n">
        <v>65</v>
      </c>
      <c r="C8" s="8" t="inlineStr">
        <is>
          <t>نخلة / فدان</t>
        </is>
      </c>
      <c r="D8" s="9" t="inlineStr">
        <is>
          <t>توزيع منتظم على مساحة الفدان (4200 متر مربع)</t>
        </is>
      </c>
    </row>
    <row r="9" ht="24" customHeight="1">
      <c r="A9" s="4" t="inlineStr">
        <is>
          <t>إجمالي عدد النخيل للمشروع</t>
        </is>
      </c>
      <c r="B9" s="5">
        <f>B8*6.83</f>
        <v/>
      </c>
      <c r="C9" s="5" t="inlineStr">
        <is>
          <t>نخلة</t>
        </is>
      </c>
      <c r="D9" s="6" t="inlineStr">
        <is>
          <t>إجمالي الاحتياج من فسائل النخيل البرحي للقطع الثلاث</t>
        </is>
      </c>
    </row>
    <row r="10" ht="24" customHeight="1">
      <c r="A10" s="7" t="inlineStr">
        <is>
          <t>المحصول المحمل الثانوي</t>
        </is>
      </c>
      <c r="B10" s="8" t="inlineStr">
        <is>
          <t>روزماري (إكليل الجبل)</t>
        </is>
      </c>
      <c r="C10" s="8" t="inlineStr">
        <is>
          <t>—</t>
        </is>
      </c>
      <c r="D10" s="9" t="inlineStr">
        <is>
          <t>نبات طبي عطري معمر ممتاز للتربة الرملية ومقاوم للجفاف</t>
        </is>
      </c>
    </row>
    <row r="11" ht="24" customHeight="1">
      <c r="A11" s="7" t="inlineStr">
        <is>
          <t>مسافات زراعة الروزماري</t>
        </is>
      </c>
      <c r="B11" s="8" t="inlineStr">
        <is>
          <t>1 × 0.5</t>
        </is>
      </c>
      <c r="C11" s="8" t="inlineStr">
        <is>
          <t>متر</t>
        </is>
      </c>
      <c r="D11" s="9" t="inlineStr">
        <is>
          <t>1 متر بين الصفوف و 0.5 متر بين النباتات داخل الصف الواحد</t>
        </is>
      </c>
    </row>
    <row r="12" ht="24" customHeight="1">
      <c r="A12" s="7" t="inlineStr">
        <is>
          <t>عرض حارة زراعة الروزماري</t>
        </is>
      </c>
      <c r="B12" s="8" t="n">
        <v>5</v>
      </c>
      <c r="C12" s="8" t="inlineStr">
        <is>
          <t>متر</t>
        </is>
      </c>
      <c r="D12" s="9" t="inlineStr">
        <is>
          <t>عرض الحارة الصافية بمنتصف المسافة بين النخيل مع ترك 1.5م حريم خدمة</t>
        </is>
      </c>
    </row>
    <row r="13" ht="24" customHeight="1">
      <c r="A13" s="7" t="inlineStr">
        <is>
          <t>عدد صفوف الروزماري بالحارة</t>
        </is>
      </c>
      <c r="B13" s="8" t="n">
        <v>5</v>
      </c>
      <c r="C13" s="8" t="inlineStr">
        <is>
          <t>صفوف</t>
        </is>
      </c>
      <c r="D13" s="9" t="inlineStr">
        <is>
          <t>توزيع الخراطيم والصفوف بالتوازي مع خطوط النخيل</t>
        </is>
      </c>
    </row>
    <row r="14" ht="24" customHeight="1">
      <c r="A14" s="7" t="inlineStr">
        <is>
          <t>كثافة الروزماري للفدان المحمل</t>
        </is>
      </c>
      <c r="B14" s="8" t="n">
        <v>5250</v>
      </c>
      <c r="C14" s="8" t="inlineStr">
        <is>
          <t>شتلة / فدان</t>
        </is>
      </c>
      <c r="D14" s="9" t="inlineStr">
        <is>
          <t>تعادل 62.5% من كثافة الزراعة المنفردة لضمان عدم التظليل</t>
        </is>
      </c>
    </row>
    <row r="15" ht="24" customHeight="1">
      <c r="A15" s="4" t="inlineStr">
        <is>
          <t>إجمالي شتلات الروزماري المطلوبة</t>
        </is>
      </c>
      <c r="B15" s="5">
        <f>B14*6.83</f>
        <v/>
      </c>
      <c r="C15" s="5" t="inlineStr">
        <is>
          <t>شتلة</t>
        </is>
      </c>
      <c r="D15" s="6" t="inlineStr">
        <is>
          <t>إجمالي الاحتياج من عقل شتلات الروزماري المجهزة للغرس</t>
        </is>
      </c>
    </row>
    <row r="16" ht="24" customHeight="1">
      <c r="A16" s="7" t="inlineStr">
        <is>
          <t>إنتاجية العشب الطازج للفدان سنوياً</t>
        </is>
      </c>
      <c r="B16" s="8" t="n">
        <v>7</v>
      </c>
      <c r="C16" s="8" t="inlineStr">
        <is>
          <t>طن / فدان</t>
        </is>
      </c>
      <c r="D16" s="9" t="inlineStr">
        <is>
          <t>متوسط الإنتاج السنوي للعشب بعد الحصاد على 3-4 حشات</t>
        </is>
      </c>
    </row>
    <row r="17" ht="24" customHeight="1">
      <c r="A17" s="4" t="inlineStr">
        <is>
          <t>إجمالي إنتاج العشب للمشروع سنوياً</t>
        </is>
      </c>
      <c r="B17" s="5">
        <f>B16*6.83</f>
        <v/>
      </c>
      <c r="C17" s="5" t="inlineStr">
        <is>
          <t>طن / سنة</t>
        </is>
      </c>
      <c r="D17" s="6" t="inlineStr">
        <is>
          <t>إجمالي كميات العشب الطازج الموردة لوحدة التقطير</t>
        </is>
      </c>
    </row>
    <row r="18" ht="24" customHeight="1">
      <c r="A18" s="7" t="inlineStr">
        <is>
          <t>معدل استخلاص الزيت العطري</t>
        </is>
      </c>
      <c r="B18" s="8" t="n">
        <v>0.9</v>
      </c>
      <c r="C18" s="8" t="inlineStr">
        <is>
          <t>%</t>
        </is>
      </c>
      <c r="D18" s="9" t="inlineStr">
        <is>
          <t>نسبة استخلاص الزيت من العشب الطازج المجفف جزئياً في الظل</t>
        </is>
      </c>
    </row>
    <row r="19" ht="24" customHeight="1">
      <c r="A19" s="7" t="inlineStr">
        <is>
          <t>إنتاجية زيت الروزماري للفدان سنوياً</t>
        </is>
      </c>
      <c r="B19" s="8" t="n">
        <v>70</v>
      </c>
      <c r="C19" s="8" t="inlineStr">
        <is>
          <t>كجم / فدان / سنة</t>
        </is>
      </c>
      <c r="D19" s="9" t="inlineStr">
        <is>
          <t>كمية الزيت العطري النقي المستخلص سنوياً من الفدان الواحد</t>
        </is>
      </c>
    </row>
    <row r="20" ht="24" customHeight="1">
      <c r="A20" s="4" t="inlineStr">
        <is>
          <t>إجمالي إنتاج الزيت العطري للمشروع</t>
        </is>
      </c>
      <c r="B20" s="5">
        <f>B19*6.83</f>
        <v/>
      </c>
      <c r="C20" s="5" t="inlineStr">
        <is>
          <t>كجم / سنة</t>
        </is>
      </c>
      <c r="D20" s="6" t="inlineStr">
        <is>
          <t>إجمالي إنتاج زيت الروزماري النقي الجاهز للبيع والتعبئة والتصدير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12" customWidth="1" min="4" max="4"/>
    <col width="15" customWidth="1" min="5" max="5"/>
    <col width="16" customWidth="1" min="6" max="6"/>
    <col width="20" customWidth="1" min="7" max="7"/>
  </cols>
  <sheetData>
    <row r="1" ht="35" customHeight="1">
      <c r="A1" s="1" t="inlineStr">
        <is>
          <t>مقايسة وجداول كميات شبكة الري بالتنقيط المتكاملة (نخيل + روزماري)</t>
        </is>
      </c>
    </row>
    <row r="2" ht="25" customHeight="1">
      <c r="A2" s="2" t="inlineStr">
        <is>
          <t>مزرعة شركة بارا - المساحة الإجمالية 6.83 فدان (تقديرات التكلفة التفصيلية لعام 2025/2026)</t>
        </is>
      </c>
    </row>
    <row r="4" ht="26" customHeight="1">
      <c r="A4" s="3" t="inlineStr">
        <is>
          <t>م</t>
        </is>
      </c>
      <c r="B4" s="3" t="inlineStr">
        <is>
          <t>البند والبيان الفني</t>
        </is>
      </c>
      <c r="C4" s="3" t="inlineStr">
        <is>
          <t>المواصفات القياسية والمعتمدة</t>
        </is>
      </c>
      <c r="D4" s="3" t="inlineStr">
        <is>
          <t>الوحدة</t>
        </is>
      </c>
      <c r="E4" s="3" t="inlineStr">
        <is>
          <t>الكمية الكلية</t>
        </is>
      </c>
      <c r="F4" s="3" t="inlineStr">
        <is>
          <t>سعر الوحدة (جنيه)</t>
        </is>
      </c>
      <c r="G4" s="3" t="inlineStr">
        <is>
          <t>التكلفة الإجمالية (جنيه)</t>
        </is>
      </c>
    </row>
    <row r="5" ht="24" customHeight="1">
      <c r="A5" s="10" t="n">
        <v>1</v>
      </c>
      <c r="B5" s="7" t="inlineStr">
        <is>
          <t>مواسير PVC أقطار 75 مم ضغط 10 بار</t>
        </is>
      </c>
      <c r="C5" s="9" t="inlineStr">
        <is>
          <t>خطوط التغذية الفرعية لتوزيع المياه للحواوش، شاملة القطع الخاصة والتركيب</t>
        </is>
      </c>
      <c r="D5" s="10" t="inlineStr">
        <is>
          <t>متر طولي</t>
        </is>
      </c>
      <c r="E5" s="8" t="n">
        <v>450</v>
      </c>
      <c r="F5" s="11" t="n">
        <v>110</v>
      </c>
      <c r="G5" s="11">
        <f>E5*F5</f>
        <v/>
      </c>
    </row>
    <row r="6" ht="24" customHeight="1">
      <c r="A6" s="10" t="n">
        <v>2</v>
      </c>
      <c r="B6" s="7" t="inlineStr">
        <is>
          <t>مواسير PVC أقطار 63 مم ضغط 10 بار</t>
        </is>
      </c>
      <c r="C6" s="9" t="inlineStr">
        <is>
          <t>خطوط التغذية لصفوف الري، شاملة التوصيلات والمشتركات واللاصق المعتمد</t>
        </is>
      </c>
      <c r="D6" s="10" t="inlineStr">
        <is>
          <t>متر طولي</t>
        </is>
      </c>
      <c r="E6" s="8" t="n">
        <v>800</v>
      </c>
      <c r="F6" s="11" t="n">
        <v>85</v>
      </c>
      <c r="G6" s="11">
        <f>E6*F6</f>
        <v/>
      </c>
    </row>
    <row r="7" ht="24" customHeight="1">
      <c r="A7" s="10" t="n">
        <v>3</v>
      </c>
      <c r="B7" s="7" t="inlineStr">
        <is>
          <t>خراطيم ري بالتنقيط 16 مم GR</t>
        </is>
      </c>
      <c r="C7" s="9" t="inlineStr">
        <is>
          <t>نقاطات مدمجة تصرف 4 لتر/ساعة مباعدة 50 سم مسافة، لفات بولي إيثيلين مرن للروزماري</t>
        </is>
      </c>
      <c r="D7" s="10" t="inlineStr">
        <is>
          <t>متر طولي</t>
        </is>
      </c>
      <c r="E7" s="8" t="n">
        <v>17500</v>
      </c>
      <c r="F7" s="11" t="n">
        <v>3.5</v>
      </c>
      <c r="G7" s="11">
        <f>E7*F7</f>
        <v/>
      </c>
    </row>
    <row r="8" ht="24" customHeight="1">
      <c r="A8" s="10" t="n">
        <v>4</v>
      </c>
      <c r="B8" s="7" t="inlineStr">
        <is>
          <t>خراطيم بولي إيثيلين سادة 16 مم</t>
        </is>
      </c>
      <c r="C8" s="9" t="inlineStr">
        <is>
          <t>خراطيم عمياء مرنة لتغذية حلقات ري النخيل ومناطق الصفوف البينية</t>
        </is>
      </c>
      <c r="D8" s="10" t="inlineStr">
        <is>
          <t>متر طولي</t>
        </is>
      </c>
      <c r="E8" s="8" t="n">
        <v>2200</v>
      </c>
      <c r="F8" s="11" t="n">
        <v>2.5</v>
      </c>
      <c r="G8" s="11">
        <f>E8*F8</f>
        <v/>
      </c>
    </row>
    <row r="9" ht="24" customHeight="1">
      <c r="A9" s="10" t="n">
        <v>5</v>
      </c>
      <c r="B9" s="7" t="inlineStr">
        <is>
          <t>نقاطات ري النخيل (بابلر / نقاط أزرار)</t>
        </is>
      </c>
      <c r="C9" s="9" t="inlineStr">
        <is>
          <t>نقاطات ضغط ذاتية التنظيف تصرف 8 لتر/ساعة مخصصة للنخيل (2 نقاطة لكل نخلة)</t>
        </is>
      </c>
      <c r="D9" s="10" t="inlineStr">
        <is>
          <t>عدد</t>
        </is>
      </c>
      <c r="E9" s="8" t="n">
        <v>900</v>
      </c>
      <c r="F9" s="11" t="n">
        <v>8</v>
      </c>
      <c r="G9" s="11">
        <f>E9*F9</f>
        <v/>
      </c>
    </row>
    <row r="10" ht="24" customHeight="1">
      <c r="A10" s="10" t="n">
        <v>6</v>
      </c>
      <c r="B10" s="7" t="inlineStr">
        <is>
          <t>محابس بوابة هيدروليكية 2 بوصة</t>
        </is>
      </c>
      <c r="C10" s="9" t="inlineStr">
        <is>
          <t>ماركة بريما BEMAD أو ما يماثلها لتنظيم وضبط الضغوط وفتح وإغلاق القطاعات مستقلة</t>
        </is>
      </c>
      <c r="D10" s="10" t="inlineStr">
        <is>
          <t>عدد</t>
        </is>
      </c>
      <c r="E10" s="8" t="n">
        <v>6</v>
      </c>
      <c r="F10" s="11" t="n">
        <v>4200</v>
      </c>
      <c r="G10" s="11">
        <f>E10*F10</f>
        <v/>
      </c>
    </row>
    <row r="11" ht="24" customHeight="1">
      <c r="A11" s="10" t="n">
        <v>7</v>
      </c>
      <c r="B11" s="7" t="inlineStr">
        <is>
          <t>محابس غسيل ونهايات 2 بوصة ومصائد هواء</t>
        </is>
      </c>
      <c r="C11" s="9" t="inlineStr">
        <is>
          <t>محبس هواء كيناتيك للتخلص من الضغط الزائد ومحابس لغسيل أطراف الخراطيم فرعية</t>
        </is>
      </c>
      <c r="D11" s="10" t="inlineStr">
        <is>
          <t>مجموعة</t>
        </is>
      </c>
      <c r="E11" s="8" t="n">
        <v>1</v>
      </c>
      <c r="F11" s="11" t="n">
        <v>15000</v>
      </c>
      <c r="G11" s="11">
        <f>E11*F11</f>
        <v/>
      </c>
    </row>
    <row r="12" ht="24" customHeight="1">
      <c r="A12" s="10" t="n">
        <v>8</v>
      </c>
      <c r="B12" s="7" t="inlineStr">
        <is>
          <t>وصلات مرنة ومستلزمات التركيب الفرعية</t>
        </is>
      </c>
      <c r="C12" s="9" t="inlineStr">
        <is>
          <t>شاملة الجوانات، الجلب، التيفلون، المنفذ والقطع الخاصة للتنقيط</t>
        </is>
      </c>
      <c r="D12" s="10" t="inlineStr">
        <is>
          <t>مقطوعية</t>
        </is>
      </c>
      <c r="E12" s="8" t="n">
        <v>1</v>
      </c>
      <c r="F12" s="11" t="n">
        <v>18000</v>
      </c>
      <c r="G12" s="11">
        <f>E12*F12</f>
        <v/>
      </c>
    </row>
    <row r="13" ht="24" customHeight="1">
      <c r="A13" s="10" t="n">
        <v>9</v>
      </c>
      <c r="B13" s="7" t="inlineStr">
        <is>
          <t>حفر وردم وتركيب شبكة الري ميدانياً</t>
        </is>
      </c>
      <c r="C13" s="9" t="inlineStr">
        <is>
          <t>حفر خنادق المواسير بعمق لا يقل عن 80 سم وتوصيل واختبار الضغوط تحت إشراف هندسي</t>
        </is>
      </c>
      <c r="D13" s="10" t="inlineStr">
        <is>
          <t>فدان</t>
        </is>
      </c>
      <c r="E13" s="8" t="n">
        <v>6.83</v>
      </c>
      <c r="F13" s="11" t="n">
        <v>5000</v>
      </c>
      <c r="G13" s="11">
        <f>E13*F13</f>
        <v/>
      </c>
    </row>
    <row r="14" ht="28" customHeight="1">
      <c r="A14" s="12" t="inlineStr">
        <is>
          <t>—</t>
        </is>
      </c>
      <c r="B14" s="13" t="inlineStr">
        <is>
          <t>إجمالي تكلفة شبكة الري لـ 6.83 فدانًا</t>
        </is>
      </c>
      <c r="C14" s="14" t="inlineStr"/>
      <c r="D14" s="14" t="inlineStr"/>
      <c r="E14" s="14" t="inlineStr"/>
      <c r="F14" s="14" t="inlineStr"/>
      <c r="G14" s="15">
        <f>SUM(G5:G13)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rightToLeft="1"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4" customWidth="1" min="3" max="3"/>
    <col width="24" customWidth="1" min="4" max="4"/>
    <col width="52" customWidth="1" min="5" max="5"/>
  </cols>
  <sheetData>
    <row r="1" ht="35" customHeight="1">
      <c r="A1" s="1" t="inlineStr">
        <is>
          <t>التكاليف الاستثمارية (CapEx) والعوائد المتوقعة للمشروع بالكامل</t>
        </is>
      </c>
    </row>
    <row r="2" ht="25" customHeight="1">
      <c r="A2" s="2" t="inlineStr">
        <is>
          <t>مزرعة شركة بارا - يشمل تكلفة الفسائل والشتلات وتجهيز وحدة التقطير بالبخار</t>
        </is>
      </c>
    </row>
    <row r="4" ht="26" customHeight="1">
      <c r="A4" s="3" t="inlineStr">
        <is>
          <t>النوع الاستثماري</t>
        </is>
      </c>
      <c r="B4" s="3" t="inlineStr">
        <is>
          <t>البند المالي</t>
        </is>
      </c>
      <c r="C4" s="3" t="inlineStr">
        <is>
          <t>سعر الوحدة / الفدان (جنيه)</t>
        </is>
      </c>
      <c r="D4" s="3" t="inlineStr">
        <is>
          <t>الكمية الكلية للمشروع</t>
        </is>
      </c>
      <c r="E4" s="3" t="inlineStr">
        <is>
          <t>الإجمالي التقديري (جنيه)</t>
        </is>
      </c>
    </row>
    <row r="5" ht="24" customHeight="1">
      <c r="A5" s="7" t="inlineStr">
        <is>
          <t>تجهيز الأرض والشبكة</t>
        </is>
      </c>
      <c r="B5" s="9" t="inlineStr">
        <is>
          <t>شبكة الري بالتنقيط المتكاملة (6.83 فدان)</t>
        </is>
      </c>
      <c r="C5" s="11" t="n">
        <v>28000</v>
      </c>
      <c r="D5" s="8" t="n">
        <v>6.83</v>
      </c>
      <c r="E5" s="11">
        <f>'مقايسة شبكة الري'!G14</f>
        <v/>
      </c>
    </row>
    <row r="6" ht="24" customHeight="1">
      <c r="A6" s="7" t="inlineStr">
        <is>
          <t>الشتلات والأصول الزراعية</t>
        </is>
      </c>
      <c r="B6" s="9" t="inlineStr">
        <is>
          <t>فسائل نخيل برحي نسيجي فاخر ومضمون</t>
        </is>
      </c>
      <c r="C6" s="11" t="n">
        <v>2500</v>
      </c>
      <c r="D6" s="8" t="n">
        <v>444</v>
      </c>
      <c r="E6" s="11">
        <f>C6*D6</f>
        <v/>
      </c>
    </row>
    <row r="7" ht="24" customHeight="1">
      <c r="A7" s="7" t="inlineStr">
        <is>
          <t>الشتلات والأصول الزراعية</t>
        </is>
      </c>
      <c r="B7" s="9" t="inlineStr">
        <is>
          <t>شتلات وعقل روزماري مجهزة للغرس ومقاومة للأمراض</t>
        </is>
      </c>
      <c r="C7" s="11" t="n">
        <v>3.5</v>
      </c>
      <c r="D7" s="8" t="n">
        <v>35850</v>
      </c>
      <c r="E7" s="11">
        <f>C7*D7</f>
        <v/>
      </c>
    </row>
    <row r="8" ht="24" customHeight="1">
      <c r="A8" s="7" t="inlineStr">
        <is>
          <t>الأصول الصناعية</t>
        </is>
      </c>
      <c r="B8" s="9" t="inlineStr">
        <is>
          <t>وحدة تقطير الزيوت العطرية بالبخار سعة 200 لتر استانلس 304</t>
        </is>
      </c>
      <c r="C8" s="11" t="n">
        <v>130000</v>
      </c>
      <c r="D8" s="8" t="n">
        <v>1</v>
      </c>
      <c r="E8" s="11">
        <f>C8*D8</f>
        <v/>
      </c>
    </row>
    <row r="9" ht="24" customHeight="1">
      <c r="A9" s="7" t="inlineStr">
        <is>
          <t>الخدمات والتشغيل الأساسي</t>
        </is>
      </c>
      <c r="B9" s="9" t="inlineStr">
        <is>
          <t>أسمدة التأسيس العضوية والجبس الزراعي ومحسنات التربة</t>
        </is>
      </c>
      <c r="C9" s="11" t="n">
        <v>4500</v>
      </c>
      <c r="D9" s="8" t="n">
        <v>6.83</v>
      </c>
      <c r="E9" s="11">
        <f>C9*D9</f>
        <v/>
      </c>
    </row>
    <row r="10" ht="28" customHeight="1">
      <c r="A10" s="12" t="inlineStr">
        <is>
          <t>—</t>
        </is>
      </c>
      <c r="B10" s="13" t="inlineStr">
        <is>
          <t>إجمالي التكاليف الاستثمارية للمشروع (CapEx)</t>
        </is>
      </c>
      <c r="C10" s="14" t="inlineStr"/>
      <c r="D10" s="14" t="inlineStr"/>
      <c r="E10" s="15">
        <f>SUM(E5:E9)</f>
        <v/>
      </c>
    </row>
    <row r="13" ht="26" customHeight="1">
      <c r="A13" s="16" t="inlineStr">
        <is>
          <t>العوائد السنوية المتوقعة للمشروع عند اكتمال النضج (نخيل + روزماري)</t>
        </is>
      </c>
    </row>
    <row r="14" ht="26" customHeight="1">
      <c r="A14" s="17" t="inlineStr">
        <is>
          <t>المحصول والمنتج المستخلص</t>
        </is>
      </c>
      <c r="B14" s="17" t="inlineStr">
        <is>
          <t>متوسط سعر الوحدة (جنيه)</t>
        </is>
      </c>
      <c r="C14" s="17" t="inlineStr">
        <is>
          <t>الإنتاج السنوي للمشروع (كجم/لتر/عدد)</t>
        </is>
      </c>
      <c r="D14" s="17" t="inlineStr">
        <is>
          <t>العائد السنوي المتوقع (جنيه)</t>
        </is>
      </c>
      <c r="E14" s="17" t="inlineStr">
        <is>
          <t>توجيهات السوق والتصدير</t>
        </is>
      </c>
    </row>
    <row r="15" ht="24" customHeight="1">
      <c r="A15" s="7" t="inlineStr">
        <is>
          <t>زيت روزماري نقي مستخلص بالبخار</t>
        </is>
      </c>
      <c r="B15" s="11" t="n">
        <v>1200</v>
      </c>
      <c r="C15" s="8" t="n">
        <v>480</v>
      </c>
      <c r="D15" s="11">
        <f>B15*C15</f>
        <v/>
      </c>
      <c r="E15" s="9" t="inlineStr">
        <is>
          <t>يباع محلياً لشركات الأدوية والتجميل أو يصدر بأسعار ممتازة</t>
        </is>
      </c>
    </row>
    <row r="16" ht="24" customHeight="1">
      <c r="A16" s="7" t="inlineStr">
        <is>
          <t>هيدروسول الروزماري المقطر (ماء عطري)</t>
        </is>
      </c>
      <c r="B16" s="11" t="n">
        <v>25</v>
      </c>
      <c r="C16" s="8" t="n">
        <v>8200</v>
      </c>
      <c r="D16" s="11">
        <f>B16*C16</f>
        <v/>
      </c>
      <c r="E16" s="9" t="inlineStr">
        <is>
          <t>منتج ثانوي عالي الطلب في صناعات الصابون والشامبو واللوسيونات</t>
        </is>
      </c>
    </row>
    <row r="17" ht="24" customHeight="1">
      <c r="A17" s="7" t="inlineStr">
        <is>
          <t>ثمار البلح البرحي (عند اكتمال النضج)</t>
        </is>
      </c>
      <c r="B17" s="11" t="n">
        <v>35</v>
      </c>
      <c r="C17" s="8" t="n">
        <v>66600</v>
      </c>
      <c r="D17" s="11">
        <f>B17*C17</f>
        <v/>
      </c>
      <c r="E17" s="9" t="inlineStr">
        <is>
          <t>إنتاجية متوسطة 150 كجم للنخلة لعدد 444 نخلة برحي بسعر سوقي متوسط للبيع والتصدير</t>
        </is>
      </c>
    </row>
    <row r="18" ht="24" customHeight="1">
      <c r="A18" s="7" t="inlineStr">
        <is>
          <t>الفسائل الناتجة والمباعة من النخيل نفسه</t>
        </is>
      </c>
      <c r="B18" s="11" t="n">
        <v>2000</v>
      </c>
      <c r="C18" s="8" t="n">
        <v>666</v>
      </c>
      <c r="D18" s="11">
        <f>B18*C18</f>
        <v/>
      </c>
      <c r="E18" s="9" t="inlineStr">
        <is>
          <t>متوسط 1.5 فسيلة للنخلة سنوياً لعدد 444 نخلة (مصدر أرباح إضافي هائل ومستمر)</t>
        </is>
      </c>
    </row>
    <row r="19" ht="28" customHeight="1">
      <c r="A19" s="12" t="inlineStr">
        <is>
          <t>—</t>
        </is>
      </c>
      <c r="B19" s="13" t="inlineStr">
        <is>
          <t>إجمالي العائد السنوي المتوقع للمشروع بالكامل</t>
        </is>
      </c>
      <c r="C19" s="14" t="inlineStr"/>
      <c r="D19" s="15">
        <f>SUM(D15:D18)</f>
        <v/>
      </c>
      <c r="E19" s="18" t="inlineStr">
        <is>
          <t>*ملاحظة: عوائد الروزماري تبدأ من العام الثاني، وعوائد النخيل والفسائل تبدأ من العام الرابع وتكتمل عند النضج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2026-05-22T06:27:47Z</dcterms:created>
  <dcterms:modified xmlns:dcterms="http://purl.org/dc/terms/" xmlns:xsi="http://www.w3.org/2001/XMLSchema-instance" xsi:type="dcterms:W3CDTF">2026-05-22T06:27:47Z</dcterms:modified>
</cp:coreProperties>
</file>